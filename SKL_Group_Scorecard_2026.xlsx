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vi Priya\Downloads\New Demo - SKL\"/>
    </mc:Choice>
  </mc:AlternateContent>
  <xr:revisionPtr revIDLastSave="0" documentId="13_ncr:1_{79D6DBC3-1829-4CB6-B7DC-064B5C7FB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in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2" i="1"/>
</calcChain>
</file>

<file path=xl/sharedStrings.xml><?xml version="1.0" encoding="utf-8"?>
<sst xmlns="http://schemas.openxmlformats.org/spreadsheetml/2006/main" count="1133" uniqueCount="283">
  <si>
    <t>Department ID</t>
  </si>
  <si>
    <t>ScoreCardName</t>
  </si>
  <si>
    <t>Scorecard Description</t>
  </si>
  <si>
    <t>Perspective ID</t>
  </si>
  <si>
    <t>Perspective Name</t>
  </si>
  <si>
    <t>Perspective Description</t>
  </si>
  <si>
    <t>Perspective Weight</t>
  </si>
  <si>
    <t>Perspective Type</t>
  </si>
  <si>
    <t>ObJective ID</t>
  </si>
  <si>
    <t>Objective Name</t>
  </si>
  <si>
    <t>Objective Description</t>
  </si>
  <si>
    <t>Objective Weight</t>
  </si>
  <si>
    <t>KPI ID</t>
  </si>
  <si>
    <t>KPI  NAME</t>
  </si>
  <si>
    <t>KPI Description</t>
  </si>
  <si>
    <t>KPI Weight</t>
  </si>
  <si>
    <t>KPI contribution</t>
  </si>
  <si>
    <t>Owner</t>
  </si>
  <si>
    <t>Measurement Frequency</t>
  </si>
  <si>
    <t>KPI Formula</t>
  </si>
  <si>
    <t>Actual Field</t>
  </si>
  <si>
    <t>Target Field</t>
  </si>
  <si>
    <t>Budget Field</t>
  </si>
  <si>
    <t>Forecast Field</t>
  </si>
  <si>
    <t>Data Source</t>
  </si>
  <si>
    <t>Status</t>
  </si>
  <si>
    <t>Red</t>
  </si>
  <si>
    <t>Amber</t>
  </si>
  <si>
    <t>Green</t>
  </si>
  <si>
    <t>DataType</t>
  </si>
  <si>
    <t>Currency</t>
  </si>
  <si>
    <t>KPI Performance</t>
  </si>
  <si>
    <t>YTD</t>
  </si>
  <si>
    <t>KPIType</t>
  </si>
  <si>
    <t>SubKPI ID</t>
  </si>
  <si>
    <t>SubKPI  NAME</t>
  </si>
  <si>
    <t>SubKPI Description</t>
  </si>
  <si>
    <t>SubKPI Weight</t>
  </si>
  <si>
    <t>SubKPI contribution</t>
  </si>
  <si>
    <t>SubMeasurement Frequency</t>
  </si>
  <si>
    <t>SubKPI Formula</t>
  </si>
  <si>
    <t>SubDataType</t>
  </si>
  <si>
    <t>Sub Currency</t>
  </si>
  <si>
    <t>SubKPI Performance</t>
  </si>
  <si>
    <t>SubKPIType</t>
  </si>
  <si>
    <t>Start/End Date</t>
  </si>
  <si>
    <t>Objective Performance</t>
  </si>
  <si>
    <t>Perspective Performance</t>
  </si>
  <si>
    <t>Scorecard Performance</t>
  </si>
  <si>
    <t>DeleteSubkpi</t>
  </si>
  <si>
    <t>DeleteKPI</t>
  </si>
  <si>
    <t>DeleteObj</t>
  </si>
  <si>
    <t>SKL Group Scorecard</t>
  </si>
  <si>
    <t>SKL Group - Owner Corporate Scorecard | Strategic Period 2026-2030</t>
  </si>
  <si>
    <t>SKL-P01</t>
  </si>
  <si>
    <t>Financial Performance and Growth</t>
  </si>
  <si>
    <t>Financial</t>
  </si>
  <si>
    <t>SKL-O01</t>
  </si>
  <si>
    <t>Grow group revenue</t>
  </si>
  <si>
    <t>SKL-K01</t>
  </si>
  <si>
    <t>Revenue growth rate</t>
  </si>
  <si>
    <t>Revenue growth rate (%)</t>
  </si>
  <si>
    <t>Quarterly</t>
  </si>
  <si>
    <t>Manual</t>
  </si>
  <si>
    <t>(Actual/Target)*100</t>
  </si>
  <si>
    <t>SKL-K02</t>
  </si>
  <si>
    <t>Net revenue</t>
  </si>
  <si>
    <t>Net revenue (KES)</t>
  </si>
  <si>
    <t>Monthly</t>
  </si>
  <si>
    <t>SKL-K03</t>
  </si>
  <si>
    <t>Export sales contribution</t>
  </si>
  <si>
    <t>Export sales contribution (%)</t>
  </si>
  <si>
    <t>SKL-O02</t>
  </si>
  <si>
    <t>Improve profitability</t>
  </si>
  <si>
    <t>SKL-K04</t>
  </si>
  <si>
    <t>EBITDA margin</t>
  </si>
  <si>
    <t>EBITDA margin (%)</t>
  </si>
  <si>
    <t>SKL-K05</t>
  </si>
  <si>
    <t>Net profit margin</t>
  </si>
  <si>
    <t>Net profit margin (%)</t>
  </si>
  <si>
    <t>SKL-K06</t>
  </si>
  <si>
    <t>Gross profit margin</t>
  </si>
  <si>
    <t>Gross profit margin (%)</t>
  </si>
  <si>
    <t>SKL-O03</t>
  </si>
  <si>
    <t>Strengthen shareholder returns</t>
  </si>
  <si>
    <t>SKL-K07</t>
  </si>
  <si>
    <t>Return on equity</t>
  </si>
  <si>
    <t>Return on equity ROE (%)</t>
  </si>
  <si>
    <t>SKL-K08</t>
  </si>
  <si>
    <t>Earnings per share</t>
  </si>
  <si>
    <t>Earnings per share (KES)</t>
  </si>
  <si>
    <t>SKL-K09</t>
  </si>
  <si>
    <t>Dividend payout ratio</t>
  </si>
  <si>
    <t>Dividend payout ratio (%)</t>
  </si>
  <si>
    <t>SKL-P02</t>
  </si>
  <si>
    <t>Customer and Market</t>
  </si>
  <si>
    <t>Customer and Stakeholder</t>
  </si>
  <si>
    <t>SKL-O04</t>
  </si>
  <si>
    <t>Diversify customer base</t>
  </si>
  <si>
    <t>SKL-K10</t>
  </si>
  <si>
    <t>Revenue share from top 5 customers</t>
  </si>
  <si>
    <t>Revenue share from top 5 customers (%)</t>
  </si>
  <si>
    <t>SKL-K11</t>
  </si>
  <si>
    <t>Number of active customers</t>
  </si>
  <si>
    <t>Number of active customers (Count)</t>
  </si>
  <si>
    <t>SKL-K12</t>
  </si>
  <si>
    <t>New customer acquisition rate</t>
  </si>
  <si>
    <t>New customer acquisition rate (%)</t>
  </si>
  <si>
    <t>SKL-O05</t>
  </si>
  <si>
    <t>Improve customer satisfaction</t>
  </si>
  <si>
    <t>SKL-K13</t>
  </si>
  <si>
    <t>Customer satisfaction score</t>
  </si>
  <si>
    <t>Customer satisfaction score (%)</t>
  </si>
  <si>
    <t>SKL-K14</t>
  </si>
  <si>
    <t>Customer complaint resolution time</t>
  </si>
  <si>
    <t>Customer complaint resolution time (Days)</t>
  </si>
  <si>
    <t>SKL-K15</t>
  </si>
  <si>
    <t>Net promoter score</t>
  </si>
  <si>
    <t>Net promoter score (Score)</t>
  </si>
  <si>
    <t>SKL-O06</t>
  </si>
  <si>
    <t>Grow order book</t>
  </si>
  <si>
    <t>SKL-K16</t>
  </si>
  <si>
    <t>Order book value</t>
  </si>
  <si>
    <t>Order book value (KES)</t>
  </si>
  <si>
    <t>SKL-K17</t>
  </si>
  <si>
    <t>Sales conversion rate</t>
  </si>
  <si>
    <t>Sales conversion rate (%)</t>
  </si>
  <si>
    <t>SKL-K18</t>
  </si>
  <si>
    <t>Repeat order rate</t>
  </si>
  <si>
    <t>Repeat order rate (%)</t>
  </si>
  <si>
    <t>SKL-P03</t>
  </si>
  <si>
    <t>Manufacturing and Operational Excellence</t>
  </si>
  <si>
    <t>Internal Process</t>
  </si>
  <si>
    <t>SKL-O07</t>
  </si>
  <si>
    <t>Improve production efficiency</t>
  </si>
  <si>
    <t>SKL-K19</t>
  </si>
  <si>
    <t>Overall equipment effectiveness</t>
  </si>
  <si>
    <t>Overall equipment effectiveness OEE (%)</t>
  </si>
  <si>
    <t>SKL-K20</t>
  </si>
  <si>
    <t>Machine downtime</t>
  </si>
  <si>
    <t>Machine downtime (Hours)</t>
  </si>
  <si>
    <t>SKL-K21</t>
  </si>
  <si>
    <t>Production output volume</t>
  </si>
  <si>
    <t>Production output volume (Tonnes)</t>
  </si>
  <si>
    <t>SKL-O08</t>
  </si>
  <si>
    <t>Reduce production wastage</t>
  </si>
  <si>
    <t>SKL-K22</t>
  </si>
  <si>
    <t>Material wastage rate</t>
  </si>
  <si>
    <t>Material wastage rate (%)</t>
  </si>
  <si>
    <t>SKL-K23</t>
  </si>
  <si>
    <t>Rework rate</t>
  </si>
  <si>
    <t>Rework rate (%)</t>
  </si>
  <si>
    <t>SKL-K24</t>
  </si>
  <si>
    <t>Energy cost per tonne produced</t>
  </si>
  <si>
    <t>Energy cost per tonne produced (KES)</t>
  </si>
  <si>
    <t>SKL-O09</t>
  </si>
  <si>
    <t>Ensure on-time delivery</t>
  </si>
  <si>
    <t>SKL-K25</t>
  </si>
  <si>
    <t>On-time in-full delivery rate</t>
  </si>
  <si>
    <t>On-time in-full delivery rate (%)</t>
  </si>
  <si>
    <t>SKL-K26</t>
  </si>
  <si>
    <t>Average lead time</t>
  </si>
  <si>
    <t>Average lead time (Days)</t>
  </si>
  <si>
    <t>SKL-K27</t>
  </si>
  <si>
    <t>Order fulfilment accuracy</t>
  </si>
  <si>
    <t>Order fulfilment accuracy (%)</t>
  </si>
  <si>
    <t>SKL-P04</t>
  </si>
  <si>
    <t>Capacity Expansion and Capital Projects</t>
  </si>
  <si>
    <t>Strategic</t>
  </si>
  <si>
    <t>SKL-O10</t>
  </si>
  <si>
    <t>Deliver Kisaju plant expansion</t>
  </si>
  <si>
    <t>SKL-K28</t>
  </si>
  <si>
    <t>Kisaju project completion</t>
  </si>
  <si>
    <t>Kisaju project completion (%)</t>
  </si>
  <si>
    <t>SKL-K29</t>
  </si>
  <si>
    <t>Project schedule adherence</t>
  </si>
  <si>
    <t>Project schedule adherence (%)</t>
  </si>
  <si>
    <t>SKL-K30</t>
  </si>
  <si>
    <t>Project milestone delays</t>
  </si>
  <si>
    <t>Project milestone delays (Count)</t>
  </si>
  <si>
    <t>SKL-O11</t>
  </si>
  <si>
    <t>Increase production capacity</t>
  </si>
  <si>
    <t>SKL-K31</t>
  </si>
  <si>
    <t>Annual production capacity</t>
  </si>
  <si>
    <t>Annual production capacity (Tonnes)</t>
  </si>
  <si>
    <t>SKL-K32</t>
  </si>
  <si>
    <t>Capacity utilisation rate</t>
  </si>
  <si>
    <t>Capacity utilisation rate (%)</t>
  </si>
  <si>
    <t>SKL-K33</t>
  </si>
  <si>
    <t>New line commissioning progress</t>
  </si>
  <si>
    <t>New line commissioning progress (%)</t>
  </si>
  <si>
    <t>SKL-O12</t>
  </si>
  <si>
    <t>Manage capital project budget</t>
  </si>
  <si>
    <t>SKL-K34</t>
  </si>
  <si>
    <t>Capital expenditure budget variance</t>
  </si>
  <si>
    <t>Capital expenditure budget variance (%)</t>
  </si>
  <si>
    <t>SKL-K35</t>
  </si>
  <si>
    <t>Capex disbursement against plan</t>
  </si>
  <si>
    <t>Capex disbursement against plan (%)</t>
  </si>
  <si>
    <t>SKL-K36</t>
  </si>
  <si>
    <t>Cost per tonne of new capacity installed</t>
  </si>
  <si>
    <t>Cost per tonne of new capacity installed (KES)</t>
  </si>
  <si>
    <t>SKL-P05</t>
  </si>
  <si>
    <t>Governance</t>
  </si>
  <si>
    <t>SKL-O13</t>
  </si>
  <si>
    <t>Strengthen listed company compliance</t>
  </si>
  <si>
    <t>SKL-K37</t>
  </si>
  <si>
    <t>NSE and CMA disclosure compliance rate</t>
  </si>
  <si>
    <t>NSE and CMA disclosure compliance rate (%)</t>
  </si>
  <si>
    <t>SKL-K38</t>
  </si>
  <si>
    <t>Number of late regulatory filings</t>
  </si>
  <si>
    <t>Number of late regulatory filings (Count)</t>
  </si>
  <si>
    <t>SKL-K39</t>
  </si>
  <si>
    <t>Board governance training completion rate</t>
  </si>
  <si>
    <t>Board governance training completion rate (%)</t>
  </si>
  <si>
    <t>SKL-O14</t>
  </si>
  <si>
    <t>Manage working capital</t>
  </si>
  <si>
    <t>SKL-K40</t>
  </si>
  <si>
    <t>Cash conversion cycle</t>
  </si>
  <si>
    <t>Cash conversion cycle (Days)</t>
  </si>
  <si>
    <t>SKL-K41</t>
  </si>
  <si>
    <t>Days sales outstanding</t>
  </si>
  <si>
    <t>Days sales outstanding (Days)</t>
  </si>
  <si>
    <t>SKL-K42</t>
  </si>
  <si>
    <t>Days payable outstanding</t>
  </si>
  <si>
    <t>Days payable outstanding (Days)</t>
  </si>
  <si>
    <t>SKL-O15</t>
  </si>
  <si>
    <t>Reduce financial risk exposure</t>
  </si>
  <si>
    <t>SKL-K43</t>
  </si>
  <si>
    <t>Debt to equity ratio</t>
  </si>
  <si>
    <t>Debt to equity ratio (Ratio)</t>
  </si>
  <si>
    <t>SKL-K44</t>
  </si>
  <si>
    <t>Interest cover ratio</t>
  </si>
  <si>
    <t>Interest cover ratio (Ratio)</t>
  </si>
  <si>
    <t>SKL-K45</t>
  </si>
  <si>
    <t>Foreign currency exposure hedged</t>
  </si>
  <si>
    <t>Foreign currency exposure hedged (%)</t>
  </si>
  <si>
    <t>SKL-P06</t>
  </si>
  <si>
    <t>People and Organisational Capability</t>
  </si>
  <si>
    <t>Learning and Growth</t>
  </si>
  <si>
    <t>SKL-O16</t>
  </si>
  <si>
    <t>Improve employee engagement</t>
  </si>
  <si>
    <t>SKL-K46</t>
  </si>
  <si>
    <t>Employee engagement score</t>
  </si>
  <si>
    <t>Employee engagement score (%)</t>
  </si>
  <si>
    <t>SKL-K47</t>
  </si>
  <si>
    <t>Staff turnover rate</t>
  </si>
  <si>
    <t>Staff turnover rate (%)</t>
  </si>
  <si>
    <t>SKL-K48</t>
  </si>
  <si>
    <t>Absenteeism rate</t>
  </si>
  <si>
    <t>Absenteeism rate (%)</t>
  </si>
  <si>
    <t>SKL-O17</t>
  </si>
  <si>
    <t>Strengthen safety culture</t>
  </si>
  <si>
    <t>SKL-K49</t>
  </si>
  <si>
    <t>Lost time injury frequency rate</t>
  </si>
  <si>
    <t>Lost time injury frequency rate (Rate)</t>
  </si>
  <si>
    <t>SKL-K50</t>
  </si>
  <si>
    <t>Number of safety incidents</t>
  </si>
  <si>
    <t>Number of safety incidents (Count)</t>
  </si>
  <si>
    <t>SKL-K51</t>
  </si>
  <si>
    <t>Safety training completion rate</t>
  </si>
  <si>
    <t>Safety training completion rate (%)</t>
  </si>
  <si>
    <t>SKL-O18</t>
  </si>
  <si>
    <t>Build workforce capability</t>
  </si>
  <si>
    <t>SKL-K52</t>
  </si>
  <si>
    <t>Training hours per employee</t>
  </si>
  <si>
    <t>Training hours per employee (Hours)</t>
  </si>
  <si>
    <t>SKL-K53</t>
  </si>
  <si>
    <t>Percentage of roles with succession plans</t>
  </si>
  <si>
    <t>Percentage of roles with succession plans (%)</t>
  </si>
  <si>
    <t>SKL-K54</t>
  </si>
  <si>
    <t>Employee certification completion rate</t>
  </si>
  <si>
    <t>Employee certification completion rate (%)</t>
  </si>
  <si>
    <t>BOARD</t>
  </si>
  <si>
    <t>Governance Risk and Compliance</t>
  </si>
  <si>
    <t>Dominic</t>
  </si>
  <si>
    <t>Weighted</t>
  </si>
  <si>
    <t>Percentage</t>
  </si>
  <si>
    <t>Number</t>
  </si>
  <si>
    <t>KPIRole</t>
  </si>
  <si>
    <t>Annually</t>
  </si>
  <si>
    <t>Half Yearly</t>
  </si>
  <si>
    <t>01/01/2026 - 12/31/2026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</si>
</sst>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9"/>
      <name val="Calibri"/>
    </font>
    <font>
      <b/>
      <sz val="11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00FF"/>
      <rgbColor rgb="FFFFFFFF"/>
      <rgbColor rgb="FFAAAAAA"/>
      <rgbColor rgb="FFDDDDDD"/>
      <rgbColor rgb="FFD5D5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5"/>
  <sheetViews>
    <sheetView showGridLines="0" tabSelected="1" topLeftCell="AM34" workbookViewId="0">
      <selection activeCell="AW46" sqref="AW46"/>
    </sheetView>
  </sheetViews>
  <sheetFormatPr defaultColWidth="8.77734375" defaultRowHeight="15" customHeight="1" x14ac:dyDescent="0.3"/>
  <cols>
    <col min="1" max="1" width="8.88671875" customWidth="1"/>
    <col min="2" max="2" width="24.21875" customWidth="1"/>
    <col min="3" max="3" width="19.6640625" customWidth="1"/>
    <col min="4" max="4" width="13.21875" customWidth="1"/>
    <col min="5" max="5" width="36.109375" bestFit="1" customWidth="1"/>
    <col min="6" max="6" width="35.77734375" customWidth="1"/>
    <col min="7" max="7" width="17.33203125" customWidth="1"/>
    <col min="8" max="8" width="22.6640625" customWidth="1"/>
    <col min="9" max="9" width="11.88671875" customWidth="1"/>
    <col min="10" max="10" width="84.88671875" customWidth="1"/>
    <col min="11" max="11" width="19.44140625" customWidth="1"/>
    <col min="12" max="12" width="15.6640625" customWidth="1"/>
    <col min="13" max="13" width="10.33203125" customWidth="1"/>
    <col min="14" max="14" width="75.21875" customWidth="1"/>
    <col min="15" max="19" width="8.88671875" customWidth="1"/>
    <col min="20" max="20" width="28.6640625" customWidth="1"/>
    <col min="21" max="29" width="8.88671875" customWidth="1"/>
    <col min="30" max="30" width="12.5546875" customWidth="1"/>
    <col min="31" max="31" width="8.88671875" customWidth="1"/>
    <col min="32" max="32" width="17.77734375" customWidth="1"/>
    <col min="33" max="35" width="8.88671875" customWidth="1"/>
    <col min="36" max="36" width="12.33203125" customWidth="1"/>
    <col min="37" max="37" width="53.6640625" customWidth="1"/>
    <col min="38" max="41" width="8.88671875" customWidth="1"/>
    <col min="42" max="42" width="57.21875" customWidth="1"/>
    <col min="43" max="46" width="8.88671875" customWidth="1"/>
    <col min="47" max="47" width="22.44140625" customWidth="1"/>
    <col min="48" max="257" width="8.88671875" customWidth="1"/>
  </cols>
  <sheetData>
    <row r="1" spans="1:5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5" t="s">
        <v>279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ht="15" customHeight="1" x14ac:dyDescent="0.3">
      <c r="A2" t="s">
        <v>273</v>
      </c>
      <c r="B2" t="s">
        <v>52</v>
      </c>
      <c r="C2" t="s">
        <v>53</v>
      </c>
      <c r="D2" t="s">
        <v>54</v>
      </c>
      <c r="E2" t="s">
        <v>55</v>
      </c>
      <c r="F2" t="s">
        <v>55</v>
      </c>
      <c r="H2" t="s">
        <v>56</v>
      </c>
      <c r="I2" t="s">
        <v>57</v>
      </c>
      <c r="J2" t="s">
        <v>58</v>
      </c>
      <c r="K2" t="s">
        <v>58</v>
      </c>
      <c r="M2" t="s">
        <v>59</v>
      </c>
      <c r="N2" t="s">
        <v>60</v>
      </c>
      <c r="O2" t="s">
        <v>61</v>
      </c>
      <c r="P2">
        <v>5</v>
      </c>
      <c r="R2" t="s">
        <v>275</v>
      </c>
      <c r="S2" t="s">
        <v>62</v>
      </c>
      <c r="T2" t="str">
        <f>"avg["&amp;N2&amp;"]"</f>
        <v>avg[Revenue growth rate]</v>
      </c>
      <c r="U2" t="b">
        <v>0</v>
      </c>
      <c r="V2" t="b">
        <v>0</v>
      </c>
      <c r="W2" t="b">
        <v>0</v>
      </c>
      <c r="X2" t="b">
        <v>0</v>
      </c>
      <c r="Y2" t="s">
        <v>63</v>
      </c>
      <c r="Z2" t="s">
        <v>276</v>
      </c>
      <c r="AA2">
        <v>60</v>
      </c>
      <c r="AB2">
        <v>80</v>
      </c>
      <c r="AC2">
        <v>100</v>
      </c>
      <c r="AD2" s="4" t="s">
        <v>277</v>
      </c>
      <c r="AF2" t="s">
        <v>64</v>
      </c>
      <c r="AU2" t="s">
        <v>282</v>
      </c>
      <c r="AY2">
        <v>0</v>
      </c>
      <c r="AZ2">
        <v>0</v>
      </c>
      <c r="BA2">
        <v>0</v>
      </c>
    </row>
    <row r="3" spans="1:53" ht="15" customHeight="1" x14ac:dyDescent="0.3">
      <c r="A3" t="s">
        <v>273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H3" t="s">
        <v>56</v>
      </c>
      <c r="I3" t="s">
        <v>57</v>
      </c>
      <c r="J3" t="s">
        <v>58</v>
      </c>
      <c r="K3" t="s">
        <v>58</v>
      </c>
      <c r="M3" t="s">
        <v>65</v>
      </c>
      <c r="N3" t="s">
        <v>66</v>
      </c>
      <c r="O3" t="s">
        <v>67</v>
      </c>
      <c r="P3">
        <v>5</v>
      </c>
      <c r="R3" t="s">
        <v>275</v>
      </c>
      <c r="S3" t="s">
        <v>68</v>
      </c>
      <c r="T3" t="str">
        <f t="shared" ref="T3:T55" si="0">"avg["&amp;N3&amp;"]"</f>
        <v>avg[Net revenue]</v>
      </c>
      <c r="U3" t="b">
        <v>0</v>
      </c>
      <c r="V3" t="b">
        <v>0</v>
      </c>
      <c r="W3" t="b">
        <v>0</v>
      </c>
      <c r="X3" t="b">
        <v>0</v>
      </c>
      <c r="Y3" t="s">
        <v>63</v>
      </c>
      <c r="Z3" t="s">
        <v>276</v>
      </c>
      <c r="AA3">
        <v>60</v>
      </c>
      <c r="AB3">
        <v>80</v>
      </c>
      <c r="AC3">
        <v>100</v>
      </c>
      <c r="AD3" s="4" t="s">
        <v>278</v>
      </c>
      <c r="AF3" t="s">
        <v>64</v>
      </c>
      <c r="AU3" t="s">
        <v>282</v>
      </c>
      <c r="AY3">
        <v>0</v>
      </c>
      <c r="AZ3">
        <v>0</v>
      </c>
      <c r="BA3">
        <v>0</v>
      </c>
    </row>
    <row r="4" spans="1:53" ht="15" customHeight="1" x14ac:dyDescent="0.3">
      <c r="A4" t="s">
        <v>273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H4" t="s">
        <v>56</v>
      </c>
      <c r="I4" t="s">
        <v>57</v>
      </c>
      <c r="J4" t="s">
        <v>58</v>
      </c>
      <c r="K4" t="s">
        <v>58</v>
      </c>
      <c r="M4" t="s">
        <v>69</v>
      </c>
      <c r="N4" t="s">
        <v>70</v>
      </c>
      <c r="O4" t="s">
        <v>71</v>
      </c>
      <c r="P4">
        <v>5</v>
      </c>
      <c r="R4" t="s">
        <v>275</v>
      </c>
      <c r="S4" t="s">
        <v>62</v>
      </c>
      <c r="T4" t="str">
        <f t="shared" si="0"/>
        <v>avg[Export sales contribution]</v>
      </c>
      <c r="U4" t="b">
        <v>0</v>
      </c>
      <c r="V4" t="b">
        <v>0</v>
      </c>
      <c r="W4" t="b">
        <v>0</v>
      </c>
      <c r="X4" t="b">
        <v>0</v>
      </c>
      <c r="Y4" t="s">
        <v>63</v>
      </c>
      <c r="Z4" t="s">
        <v>276</v>
      </c>
      <c r="AA4">
        <v>60</v>
      </c>
      <c r="AB4">
        <v>80</v>
      </c>
      <c r="AC4">
        <v>100</v>
      </c>
      <c r="AD4" s="4" t="s">
        <v>277</v>
      </c>
      <c r="AF4" t="s">
        <v>64</v>
      </c>
      <c r="AU4" t="s">
        <v>282</v>
      </c>
      <c r="AY4">
        <v>0</v>
      </c>
      <c r="AZ4">
        <v>0</v>
      </c>
      <c r="BA4">
        <v>0</v>
      </c>
    </row>
    <row r="5" spans="1:53" ht="15" customHeight="1" x14ac:dyDescent="0.3">
      <c r="A5" t="s">
        <v>273</v>
      </c>
      <c r="B5" t="s">
        <v>52</v>
      </c>
      <c r="C5" t="s">
        <v>53</v>
      </c>
      <c r="D5" t="s">
        <v>54</v>
      </c>
      <c r="E5" t="s">
        <v>55</v>
      </c>
      <c r="F5" t="s">
        <v>55</v>
      </c>
      <c r="H5" t="s">
        <v>56</v>
      </c>
      <c r="I5" t="s">
        <v>72</v>
      </c>
      <c r="J5" t="s">
        <v>73</v>
      </c>
      <c r="K5" t="s">
        <v>73</v>
      </c>
      <c r="M5" t="s">
        <v>74</v>
      </c>
      <c r="N5" t="s">
        <v>75</v>
      </c>
      <c r="O5" t="s">
        <v>76</v>
      </c>
      <c r="P5">
        <v>5</v>
      </c>
      <c r="R5" t="s">
        <v>275</v>
      </c>
      <c r="S5" t="s">
        <v>62</v>
      </c>
      <c r="T5" t="str">
        <f t="shared" si="0"/>
        <v>avg[EBITDA margin]</v>
      </c>
      <c r="U5" t="b">
        <v>0</v>
      </c>
      <c r="V5" t="b">
        <v>0</v>
      </c>
      <c r="W5" t="b">
        <v>0</v>
      </c>
      <c r="X5" t="b">
        <v>0</v>
      </c>
      <c r="Y5" t="s">
        <v>63</v>
      </c>
      <c r="Z5" t="s">
        <v>276</v>
      </c>
      <c r="AA5">
        <v>60</v>
      </c>
      <c r="AB5">
        <v>80</v>
      </c>
      <c r="AC5">
        <v>100</v>
      </c>
      <c r="AD5" s="4" t="s">
        <v>277</v>
      </c>
      <c r="AF5" t="s">
        <v>64</v>
      </c>
      <c r="AU5" t="s">
        <v>282</v>
      </c>
      <c r="AY5">
        <v>0</v>
      </c>
      <c r="AZ5">
        <v>0</v>
      </c>
      <c r="BA5">
        <v>0</v>
      </c>
    </row>
    <row r="6" spans="1:53" ht="15" customHeight="1" x14ac:dyDescent="0.3">
      <c r="A6" t="s">
        <v>273</v>
      </c>
      <c r="B6" t="s">
        <v>52</v>
      </c>
      <c r="C6" t="s">
        <v>53</v>
      </c>
      <c r="D6" t="s">
        <v>54</v>
      </c>
      <c r="E6" t="s">
        <v>55</v>
      </c>
      <c r="F6" t="s">
        <v>55</v>
      </c>
      <c r="H6" t="s">
        <v>56</v>
      </c>
      <c r="I6" t="s">
        <v>72</v>
      </c>
      <c r="J6" t="s">
        <v>73</v>
      </c>
      <c r="K6" t="s">
        <v>73</v>
      </c>
      <c r="M6" t="s">
        <v>77</v>
      </c>
      <c r="N6" t="s">
        <v>78</v>
      </c>
      <c r="O6" t="s">
        <v>79</v>
      </c>
      <c r="P6">
        <v>5</v>
      </c>
      <c r="R6" t="s">
        <v>275</v>
      </c>
      <c r="S6" t="s">
        <v>62</v>
      </c>
      <c r="T6" t="str">
        <f t="shared" si="0"/>
        <v>avg[Net profit margin]</v>
      </c>
      <c r="U6" t="b">
        <v>0</v>
      </c>
      <c r="V6" t="b">
        <v>0</v>
      </c>
      <c r="W6" t="b">
        <v>0</v>
      </c>
      <c r="X6" t="b">
        <v>0</v>
      </c>
      <c r="Y6" t="s">
        <v>63</v>
      </c>
      <c r="Z6" t="s">
        <v>276</v>
      </c>
      <c r="AA6">
        <v>60</v>
      </c>
      <c r="AB6">
        <v>80</v>
      </c>
      <c r="AC6">
        <v>100</v>
      </c>
      <c r="AD6" s="4" t="s">
        <v>277</v>
      </c>
      <c r="AF6" t="s">
        <v>64</v>
      </c>
      <c r="AU6" t="s">
        <v>282</v>
      </c>
      <c r="AY6">
        <v>0</v>
      </c>
      <c r="AZ6">
        <v>0</v>
      </c>
      <c r="BA6">
        <v>0</v>
      </c>
    </row>
    <row r="7" spans="1:53" ht="15" customHeight="1" x14ac:dyDescent="0.3">
      <c r="A7" t="s">
        <v>273</v>
      </c>
      <c r="B7" t="s">
        <v>52</v>
      </c>
      <c r="C7" t="s">
        <v>53</v>
      </c>
      <c r="D7" t="s">
        <v>54</v>
      </c>
      <c r="E7" t="s">
        <v>55</v>
      </c>
      <c r="F7" t="s">
        <v>55</v>
      </c>
      <c r="H7" t="s">
        <v>56</v>
      </c>
      <c r="I7" t="s">
        <v>72</v>
      </c>
      <c r="J7" t="s">
        <v>73</v>
      </c>
      <c r="K7" t="s">
        <v>73</v>
      </c>
      <c r="M7" t="s">
        <v>80</v>
      </c>
      <c r="N7" t="s">
        <v>81</v>
      </c>
      <c r="O7" t="s">
        <v>82</v>
      </c>
      <c r="P7">
        <v>5</v>
      </c>
      <c r="R7" t="s">
        <v>275</v>
      </c>
      <c r="S7" t="s">
        <v>68</v>
      </c>
      <c r="T7" t="str">
        <f t="shared" si="0"/>
        <v>avg[Gross profit margin]</v>
      </c>
      <c r="U7" t="b">
        <v>0</v>
      </c>
      <c r="V7" t="b">
        <v>0</v>
      </c>
      <c r="W7" t="b">
        <v>0</v>
      </c>
      <c r="X7" t="b">
        <v>0</v>
      </c>
      <c r="Y7" t="s">
        <v>63</v>
      </c>
      <c r="Z7" t="s">
        <v>276</v>
      </c>
      <c r="AA7">
        <v>60</v>
      </c>
      <c r="AB7">
        <v>80</v>
      </c>
      <c r="AC7">
        <v>100</v>
      </c>
      <c r="AD7" s="4" t="s">
        <v>277</v>
      </c>
      <c r="AF7" t="s">
        <v>64</v>
      </c>
      <c r="AU7" t="s">
        <v>282</v>
      </c>
      <c r="AY7">
        <v>0</v>
      </c>
      <c r="AZ7">
        <v>0</v>
      </c>
      <c r="BA7">
        <v>0</v>
      </c>
    </row>
    <row r="8" spans="1:53" ht="15" customHeight="1" x14ac:dyDescent="0.3">
      <c r="A8" t="s">
        <v>273</v>
      </c>
      <c r="B8" t="s">
        <v>52</v>
      </c>
      <c r="C8" t="s">
        <v>53</v>
      </c>
      <c r="D8" t="s">
        <v>54</v>
      </c>
      <c r="E8" t="s">
        <v>55</v>
      </c>
      <c r="F8" t="s">
        <v>55</v>
      </c>
      <c r="H8" t="s">
        <v>56</v>
      </c>
      <c r="I8" t="s">
        <v>83</v>
      </c>
      <c r="J8" t="s">
        <v>84</v>
      </c>
      <c r="K8" t="s">
        <v>84</v>
      </c>
      <c r="M8" t="s">
        <v>85</v>
      </c>
      <c r="N8" t="s">
        <v>86</v>
      </c>
      <c r="O8" t="s">
        <v>87</v>
      </c>
      <c r="P8">
        <v>5</v>
      </c>
      <c r="R8" t="s">
        <v>275</v>
      </c>
      <c r="S8" t="s">
        <v>280</v>
      </c>
      <c r="T8" t="str">
        <f t="shared" si="0"/>
        <v>avg[Return on equity]</v>
      </c>
      <c r="U8" t="b">
        <v>0</v>
      </c>
      <c r="V8" t="b">
        <v>0</v>
      </c>
      <c r="W8" t="b">
        <v>0</v>
      </c>
      <c r="X8" t="b">
        <v>0</v>
      </c>
      <c r="Y8" t="s">
        <v>63</v>
      </c>
      <c r="Z8" t="s">
        <v>276</v>
      </c>
      <c r="AA8">
        <v>60</v>
      </c>
      <c r="AB8">
        <v>80</v>
      </c>
      <c r="AC8">
        <v>100</v>
      </c>
      <c r="AD8" s="4" t="s">
        <v>277</v>
      </c>
      <c r="AF8" t="s">
        <v>64</v>
      </c>
      <c r="AU8" t="s">
        <v>282</v>
      </c>
      <c r="AY8">
        <v>0</v>
      </c>
      <c r="AZ8">
        <v>0</v>
      </c>
      <c r="BA8">
        <v>0</v>
      </c>
    </row>
    <row r="9" spans="1:53" ht="15" customHeight="1" x14ac:dyDescent="0.3">
      <c r="A9" t="s">
        <v>273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H9" t="s">
        <v>56</v>
      </c>
      <c r="I9" t="s">
        <v>83</v>
      </c>
      <c r="J9" t="s">
        <v>84</v>
      </c>
      <c r="K9" t="s">
        <v>84</v>
      </c>
      <c r="M9" t="s">
        <v>88</v>
      </c>
      <c r="N9" t="s">
        <v>89</v>
      </c>
      <c r="O9" t="s">
        <v>90</v>
      </c>
      <c r="P9">
        <v>5</v>
      </c>
      <c r="R9" t="s">
        <v>275</v>
      </c>
      <c r="S9" t="s">
        <v>280</v>
      </c>
      <c r="T9" t="str">
        <f t="shared" si="0"/>
        <v>avg[Earnings per share]</v>
      </c>
      <c r="U9" t="b">
        <v>0</v>
      </c>
      <c r="V9" t="b">
        <v>0</v>
      </c>
      <c r="W9" t="b">
        <v>0</v>
      </c>
      <c r="X9" t="b">
        <v>0</v>
      </c>
      <c r="Y9" t="s">
        <v>63</v>
      </c>
      <c r="Z9" t="s">
        <v>276</v>
      </c>
      <c r="AA9">
        <v>60</v>
      </c>
      <c r="AB9">
        <v>80</v>
      </c>
      <c r="AC9">
        <v>100</v>
      </c>
      <c r="AD9" s="4" t="s">
        <v>278</v>
      </c>
      <c r="AF9" t="s">
        <v>64</v>
      </c>
      <c r="AU9" t="s">
        <v>282</v>
      </c>
      <c r="AY9">
        <v>0</v>
      </c>
      <c r="AZ9">
        <v>0</v>
      </c>
      <c r="BA9">
        <v>0</v>
      </c>
    </row>
    <row r="10" spans="1:53" ht="15" customHeight="1" x14ac:dyDescent="0.3">
      <c r="A10" t="s">
        <v>273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H10" t="s">
        <v>56</v>
      </c>
      <c r="I10" t="s">
        <v>83</v>
      </c>
      <c r="J10" t="s">
        <v>84</v>
      </c>
      <c r="K10" t="s">
        <v>84</v>
      </c>
      <c r="M10" t="s">
        <v>91</v>
      </c>
      <c r="N10" t="s">
        <v>92</v>
      </c>
      <c r="O10" t="s">
        <v>93</v>
      </c>
      <c r="P10">
        <v>5</v>
      </c>
      <c r="R10" t="s">
        <v>275</v>
      </c>
      <c r="S10" t="s">
        <v>280</v>
      </c>
      <c r="T10" t="str">
        <f t="shared" si="0"/>
        <v>avg[Dividend payout ratio]</v>
      </c>
      <c r="U10" t="b">
        <v>0</v>
      </c>
      <c r="V10" t="b">
        <v>0</v>
      </c>
      <c r="W10" t="b">
        <v>0</v>
      </c>
      <c r="X10" t="b">
        <v>0</v>
      </c>
      <c r="Y10" t="s">
        <v>63</v>
      </c>
      <c r="Z10" t="s">
        <v>276</v>
      </c>
      <c r="AA10">
        <v>60</v>
      </c>
      <c r="AB10">
        <v>80</v>
      </c>
      <c r="AC10">
        <v>100</v>
      </c>
      <c r="AD10" s="4" t="s">
        <v>277</v>
      </c>
      <c r="AF10" t="s">
        <v>64</v>
      </c>
      <c r="AU10" t="s">
        <v>282</v>
      </c>
      <c r="AY10">
        <v>0</v>
      </c>
      <c r="AZ10">
        <v>0</v>
      </c>
      <c r="BA10">
        <v>0</v>
      </c>
    </row>
    <row r="11" spans="1:53" ht="15" customHeight="1" x14ac:dyDescent="0.3">
      <c r="A11" t="s">
        <v>273</v>
      </c>
      <c r="B11" t="s">
        <v>52</v>
      </c>
      <c r="C11" t="s">
        <v>53</v>
      </c>
      <c r="D11" t="s">
        <v>94</v>
      </c>
      <c r="E11" t="s">
        <v>95</v>
      </c>
      <c r="F11" t="s">
        <v>95</v>
      </c>
      <c r="H11" t="s">
        <v>96</v>
      </c>
      <c r="I11" t="s">
        <v>97</v>
      </c>
      <c r="J11" t="s">
        <v>98</v>
      </c>
      <c r="K11" t="s">
        <v>98</v>
      </c>
      <c r="M11" t="s">
        <v>99</v>
      </c>
      <c r="N11" t="s">
        <v>100</v>
      </c>
      <c r="O11" t="s">
        <v>101</v>
      </c>
      <c r="P11">
        <v>5</v>
      </c>
      <c r="R11" t="s">
        <v>275</v>
      </c>
      <c r="S11" t="s">
        <v>62</v>
      </c>
      <c r="T11" t="str">
        <f t="shared" si="0"/>
        <v>avg[Revenue share from top 5 customers]</v>
      </c>
      <c r="U11" t="b">
        <v>0</v>
      </c>
      <c r="V11" t="b">
        <v>0</v>
      </c>
      <c r="W11" t="b">
        <v>0</v>
      </c>
      <c r="X11" t="b">
        <v>0</v>
      </c>
      <c r="Y11" t="s">
        <v>63</v>
      </c>
      <c r="Z11" t="s">
        <v>276</v>
      </c>
      <c r="AA11">
        <v>60</v>
      </c>
      <c r="AB11">
        <v>80</v>
      </c>
      <c r="AC11">
        <v>100</v>
      </c>
      <c r="AD11" s="4" t="s">
        <v>277</v>
      </c>
      <c r="AF11" t="s">
        <v>64</v>
      </c>
      <c r="AU11" t="s">
        <v>282</v>
      </c>
      <c r="AY11">
        <v>0</v>
      </c>
      <c r="AZ11">
        <v>0</v>
      </c>
      <c r="BA11">
        <v>0</v>
      </c>
    </row>
    <row r="12" spans="1:53" ht="15" customHeight="1" x14ac:dyDescent="0.3">
      <c r="A12" t="s">
        <v>273</v>
      </c>
      <c r="B12" t="s">
        <v>52</v>
      </c>
      <c r="C12" t="s">
        <v>53</v>
      </c>
      <c r="D12" t="s">
        <v>94</v>
      </c>
      <c r="E12" t="s">
        <v>95</v>
      </c>
      <c r="F12" t="s">
        <v>95</v>
      </c>
      <c r="H12" t="s">
        <v>96</v>
      </c>
      <c r="I12" t="s">
        <v>97</v>
      </c>
      <c r="J12" t="s">
        <v>98</v>
      </c>
      <c r="K12" t="s">
        <v>98</v>
      </c>
      <c r="M12" t="s">
        <v>102</v>
      </c>
      <c r="N12" t="s">
        <v>103</v>
      </c>
      <c r="O12" t="s">
        <v>104</v>
      </c>
      <c r="P12">
        <v>5</v>
      </c>
      <c r="R12" t="s">
        <v>275</v>
      </c>
      <c r="S12" t="s">
        <v>62</v>
      </c>
      <c r="T12" t="str">
        <f t="shared" si="0"/>
        <v>avg[Number of active customers]</v>
      </c>
      <c r="U12" t="b">
        <v>0</v>
      </c>
      <c r="V12" t="b">
        <v>0</v>
      </c>
      <c r="W12" t="b">
        <v>0</v>
      </c>
      <c r="X12" t="b">
        <v>0</v>
      </c>
      <c r="Y12" t="s">
        <v>63</v>
      </c>
      <c r="Z12" t="s">
        <v>276</v>
      </c>
      <c r="AA12">
        <v>60</v>
      </c>
      <c r="AB12">
        <v>80</v>
      </c>
      <c r="AC12">
        <v>100</v>
      </c>
      <c r="AD12" s="4" t="s">
        <v>278</v>
      </c>
      <c r="AF12" t="s">
        <v>64</v>
      </c>
      <c r="AU12" t="s">
        <v>282</v>
      </c>
      <c r="AY12">
        <v>0</v>
      </c>
      <c r="AZ12">
        <v>0</v>
      </c>
      <c r="BA12">
        <v>0</v>
      </c>
    </row>
    <row r="13" spans="1:53" ht="15" customHeight="1" x14ac:dyDescent="0.3">
      <c r="A13" t="s">
        <v>273</v>
      </c>
      <c r="B13" t="s">
        <v>52</v>
      </c>
      <c r="C13" t="s">
        <v>53</v>
      </c>
      <c r="D13" t="s">
        <v>94</v>
      </c>
      <c r="E13" t="s">
        <v>95</v>
      </c>
      <c r="F13" t="s">
        <v>95</v>
      </c>
      <c r="H13" t="s">
        <v>96</v>
      </c>
      <c r="I13" t="s">
        <v>97</v>
      </c>
      <c r="J13" t="s">
        <v>98</v>
      </c>
      <c r="K13" t="s">
        <v>98</v>
      </c>
      <c r="M13" t="s">
        <v>105</v>
      </c>
      <c r="N13" t="s">
        <v>106</v>
      </c>
      <c r="O13" t="s">
        <v>107</v>
      </c>
      <c r="P13">
        <v>5</v>
      </c>
      <c r="R13" t="s">
        <v>275</v>
      </c>
      <c r="S13" t="s">
        <v>62</v>
      </c>
      <c r="T13" t="str">
        <f t="shared" si="0"/>
        <v>avg[New customer acquisition rate]</v>
      </c>
      <c r="U13" t="b">
        <v>0</v>
      </c>
      <c r="V13" t="b">
        <v>0</v>
      </c>
      <c r="W13" t="b">
        <v>0</v>
      </c>
      <c r="X13" t="b">
        <v>0</v>
      </c>
      <c r="Y13" t="s">
        <v>63</v>
      </c>
      <c r="Z13" t="s">
        <v>276</v>
      </c>
      <c r="AA13">
        <v>60</v>
      </c>
      <c r="AB13">
        <v>80</v>
      </c>
      <c r="AC13">
        <v>100</v>
      </c>
      <c r="AD13" s="4" t="s">
        <v>277</v>
      </c>
      <c r="AF13" t="s">
        <v>64</v>
      </c>
      <c r="AU13" t="s">
        <v>282</v>
      </c>
      <c r="AY13">
        <v>0</v>
      </c>
      <c r="AZ13">
        <v>0</v>
      </c>
      <c r="BA13">
        <v>0</v>
      </c>
    </row>
    <row r="14" spans="1:53" ht="15" customHeight="1" x14ac:dyDescent="0.3">
      <c r="A14" t="s">
        <v>273</v>
      </c>
      <c r="B14" t="s">
        <v>52</v>
      </c>
      <c r="C14" t="s">
        <v>53</v>
      </c>
      <c r="D14" t="s">
        <v>94</v>
      </c>
      <c r="E14" t="s">
        <v>95</v>
      </c>
      <c r="F14" t="s">
        <v>95</v>
      </c>
      <c r="H14" t="s">
        <v>96</v>
      </c>
      <c r="I14" t="s">
        <v>108</v>
      </c>
      <c r="J14" t="s">
        <v>109</v>
      </c>
      <c r="K14" t="s">
        <v>109</v>
      </c>
      <c r="M14" t="s">
        <v>110</v>
      </c>
      <c r="N14" t="s">
        <v>111</v>
      </c>
      <c r="O14" t="s">
        <v>112</v>
      </c>
      <c r="P14">
        <v>5</v>
      </c>
      <c r="R14" t="s">
        <v>275</v>
      </c>
      <c r="S14" t="s">
        <v>281</v>
      </c>
      <c r="T14" t="str">
        <f t="shared" si="0"/>
        <v>avg[Customer satisfaction score]</v>
      </c>
      <c r="U14" t="b">
        <v>0</v>
      </c>
      <c r="V14" t="b">
        <v>0</v>
      </c>
      <c r="W14" t="b">
        <v>0</v>
      </c>
      <c r="X14" t="b">
        <v>0</v>
      </c>
      <c r="Y14" t="s">
        <v>63</v>
      </c>
      <c r="Z14" t="s">
        <v>276</v>
      </c>
      <c r="AA14">
        <v>60</v>
      </c>
      <c r="AB14">
        <v>80</v>
      </c>
      <c r="AC14">
        <v>100</v>
      </c>
      <c r="AD14" s="4" t="s">
        <v>278</v>
      </c>
      <c r="AF14" t="s">
        <v>64</v>
      </c>
      <c r="AU14" t="s">
        <v>282</v>
      </c>
      <c r="AY14">
        <v>0</v>
      </c>
      <c r="AZ14">
        <v>0</v>
      </c>
      <c r="BA14">
        <v>0</v>
      </c>
    </row>
    <row r="15" spans="1:53" ht="15" customHeight="1" x14ac:dyDescent="0.3">
      <c r="A15" t="s">
        <v>273</v>
      </c>
      <c r="B15" t="s">
        <v>52</v>
      </c>
      <c r="C15" t="s">
        <v>53</v>
      </c>
      <c r="D15" t="s">
        <v>94</v>
      </c>
      <c r="E15" t="s">
        <v>95</v>
      </c>
      <c r="F15" t="s">
        <v>95</v>
      </c>
      <c r="H15" t="s">
        <v>96</v>
      </c>
      <c r="I15" t="s">
        <v>108</v>
      </c>
      <c r="J15" t="s">
        <v>109</v>
      </c>
      <c r="K15" t="s">
        <v>109</v>
      </c>
      <c r="M15" t="s">
        <v>113</v>
      </c>
      <c r="N15" t="s">
        <v>114</v>
      </c>
      <c r="O15" t="s">
        <v>115</v>
      </c>
      <c r="P15">
        <v>5</v>
      </c>
      <c r="R15" t="s">
        <v>275</v>
      </c>
      <c r="S15" t="s">
        <v>68</v>
      </c>
      <c r="T15" t="str">
        <f t="shared" si="0"/>
        <v>avg[Customer complaint resolution time]</v>
      </c>
      <c r="U15" t="b">
        <v>0</v>
      </c>
      <c r="V15" t="b">
        <v>0</v>
      </c>
      <c r="W15" t="b">
        <v>0</v>
      </c>
      <c r="X15" t="b">
        <v>0</v>
      </c>
      <c r="Y15" t="s">
        <v>63</v>
      </c>
      <c r="Z15" t="s">
        <v>276</v>
      </c>
      <c r="AA15">
        <v>60</v>
      </c>
      <c r="AB15">
        <v>80</v>
      </c>
      <c r="AC15">
        <v>100</v>
      </c>
      <c r="AD15" s="4" t="s">
        <v>278</v>
      </c>
      <c r="AF15" t="s">
        <v>64</v>
      </c>
      <c r="AU15" t="s">
        <v>282</v>
      </c>
      <c r="AY15">
        <v>0</v>
      </c>
      <c r="AZ15">
        <v>0</v>
      </c>
      <c r="BA15">
        <v>0</v>
      </c>
    </row>
    <row r="16" spans="1:53" ht="15" customHeight="1" x14ac:dyDescent="0.3">
      <c r="A16" t="s">
        <v>273</v>
      </c>
      <c r="B16" t="s">
        <v>52</v>
      </c>
      <c r="C16" t="s">
        <v>53</v>
      </c>
      <c r="D16" t="s">
        <v>94</v>
      </c>
      <c r="E16" t="s">
        <v>95</v>
      </c>
      <c r="F16" t="s">
        <v>95</v>
      </c>
      <c r="H16" t="s">
        <v>96</v>
      </c>
      <c r="I16" t="s">
        <v>108</v>
      </c>
      <c r="J16" t="s">
        <v>109</v>
      </c>
      <c r="K16" t="s">
        <v>109</v>
      </c>
      <c r="M16" t="s">
        <v>116</v>
      </c>
      <c r="N16" t="s">
        <v>117</v>
      </c>
      <c r="O16" t="s">
        <v>118</v>
      </c>
      <c r="P16">
        <v>5</v>
      </c>
      <c r="R16" t="s">
        <v>275</v>
      </c>
      <c r="S16" t="s">
        <v>281</v>
      </c>
      <c r="T16" t="str">
        <f t="shared" si="0"/>
        <v>avg[Net promoter score]</v>
      </c>
      <c r="U16" t="b">
        <v>0</v>
      </c>
      <c r="V16" t="b">
        <v>0</v>
      </c>
      <c r="W16" t="b">
        <v>0</v>
      </c>
      <c r="X16" t="b">
        <v>0</v>
      </c>
      <c r="Y16" t="s">
        <v>63</v>
      </c>
      <c r="Z16" t="s">
        <v>276</v>
      </c>
      <c r="AA16">
        <v>60</v>
      </c>
      <c r="AB16">
        <v>80</v>
      </c>
      <c r="AC16">
        <v>100</v>
      </c>
      <c r="AD16" s="4" t="s">
        <v>278</v>
      </c>
      <c r="AF16" t="s">
        <v>64</v>
      </c>
      <c r="AU16" t="s">
        <v>282</v>
      </c>
      <c r="AY16">
        <v>0</v>
      </c>
      <c r="AZ16">
        <v>0</v>
      </c>
      <c r="BA16">
        <v>0</v>
      </c>
    </row>
    <row r="17" spans="1:53" ht="15" customHeight="1" x14ac:dyDescent="0.3">
      <c r="A17" t="s">
        <v>273</v>
      </c>
      <c r="B17" t="s">
        <v>52</v>
      </c>
      <c r="C17" t="s">
        <v>53</v>
      </c>
      <c r="D17" t="s">
        <v>94</v>
      </c>
      <c r="E17" t="s">
        <v>95</v>
      </c>
      <c r="F17" t="s">
        <v>95</v>
      </c>
      <c r="H17" t="s">
        <v>96</v>
      </c>
      <c r="I17" t="s">
        <v>119</v>
      </c>
      <c r="J17" t="s">
        <v>120</v>
      </c>
      <c r="K17" t="s">
        <v>120</v>
      </c>
      <c r="M17" t="s">
        <v>121</v>
      </c>
      <c r="N17" t="s">
        <v>122</v>
      </c>
      <c r="O17" t="s">
        <v>123</v>
      </c>
      <c r="P17">
        <v>5</v>
      </c>
      <c r="R17" t="s">
        <v>275</v>
      </c>
      <c r="S17" t="s">
        <v>68</v>
      </c>
      <c r="T17" t="str">
        <f t="shared" si="0"/>
        <v>avg[Order book value]</v>
      </c>
      <c r="U17" t="b">
        <v>0</v>
      </c>
      <c r="V17" t="b">
        <v>0</v>
      </c>
      <c r="W17" t="b">
        <v>0</v>
      </c>
      <c r="X17" t="b">
        <v>0</v>
      </c>
      <c r="Y17" t="s">
        <v>63</v>
      </c>
      <c r="Z17" t="s">
        <v>276</v>
      </c>
      <c r="AA17">
        <v>60</v>
      </c>
      <c r="AB17">
        <v>80</v>
      </c>
      <c r="AC17">
        <v>100</v>
      </c>
      <c r="AD17" s="4" t="s">
        <v>278</v>
      </c>
      <c r="AF17" t="s">
        <v>64</v>
      </c>
      <c r="AU17" t="s">
        <v>282</v>
      </c>
      <c r="AY17">
        <v>0</v>
      </c>
      <c r="AZ17">
        <v>0</v>
      </c>
      <c r="BA17">
        <v>0</v>
      </c>
    </row>
    <row r="18" spans="1:53" ht="15" customHeight="1" x14ac:dyDescent="0.3">
      <c r="A18" t="s">
        <v>273</v>
      </c>
      <c r="B18" t="s">
        <v>52</v>
      </c>
      <c r="C18" t="s">
        <v>53</v>
      </c>
      <c r="D18" t="s">
        <v>94</v>
      </c>
      <c r="E18" t="s">
        <v>95</v>
      </c>
      <c r="F18" t="s">
        <v>95</v>
      </c>
      <c r="H18" t="s">
        <v>96</v>
      </c>
      <c r="I18" t="s">
        <v>119</v>
      </c>
      <c r="J18" t="s">
        <v>120</v>
      </c>
      <c r="K18" t="s">
        <v>120</v>
      </c>
      <c r="M18" t="s">
        <v>124</v>
      </c>
      <c r="N18" t="s">
        <v>125</v>
      </c>
      <c r="O18" t="s">
        <v>126</v>
      </c>
      <c r="P18">
        <v>5</v>
      </c>
      <c r="R18" t="s">
        <v>275</v>
      </c>
      <c r="S18" t="s">
        <v>68</v>
      </c>
      <c r="T18" t="str">
        <f t="shared" si="0"/>
        <v>avg[Sales conversion rate]</v>
      </c>
      <c r="U18" t="b">
        <v>0</v>
      </c>
      <c r="V18" t="b">
        <v>0</v>
      </c>
      <c r="W18" t="b">
        <v>0</v>
      </c>
      <c r="X18" t="b">
        <v>0</v>
      </c>
      <c r="Y18" t="s">
        <v>63</v>
      </c>
      <c r="Z18" t="s">
        <v>276</v>
      </c>
      <c r="AA18">
        <v>60</v>
      </c>
      <c r="AB18">
        <v>80</v>
      </c>
      <c r="AC18">
        <v>100</v>
      </c>
      <c r="AD18" s="4" t="s">
        <v>277</v>
      </c>
      <c r="AF18" t="s">
        <v>64</v>
      </c>
      <c r="AU18" t="s">
        <v>282</v>
      </c>
      <c r="AY18">
        <v>0</v>
      </c>
      <c r="AZ18">
        <v>0</v>
      </c>
      <c r="BA18">
        <v>0</v>
      </c>
    </row>
    <row r="19" spans="1:53" ht="15" customHeight="1" x14ac:dyDescent="0.3">
      <c r="A19" t="s">
        <v>273</v>
      </c>
      <c r="B19" t="s">
        <v>52</v>
      </c>
      <c r="C19" t="s">
        <v>53</v>
      </c>
      <c r="D19" t="s">
        <v>94</v>
      </c>
      <c r="E19" t="s">
        <v>95</v>
      </c>
      <c r="F19" t="s">
        <v>95</v>
      </c>
      <c r="H19" t="s">
        <v>96</v>
      </c>
      <c r="I19" t="s">
        <v>119</v>
      </c>
      <c r="J19" t="s">
        <v>120</v>
      </c>
      <c r="K19" t="s">
        <v>120</v>
      </c>
      <c r="M19" t="s">
        <v>127</v>
      </c>
      <c r="N19" t="s">
        <v>128</v>
      </c>
      <c r="O19" t="s">
        <v>129</v>
      </c>
      <c r="P19">
        <v>5</v>
      </c>
      <c r="R19" t="s">
        <v>275</v>
      </c>
      <c r="S19" t="s">
        <v>62</v>
      </c>
      <c r="T19" t="str">
        <f t="shared" si="0"/>
        <v>avg[Repeat order rate]</v>
      </c>
      <c r="U19" t="b">
        <v>0</v>
      </c>
      <c r="V19" t="b">
        <v>0</v>
      </c>
      <c r="W19" t="b">
        <v>0</v>
      </c>
      <c r="X19" t="b">
        <v>0</v>
      </c>
      <c r="Y19" t="s">
        <v>63</v>
      </c>
      <c r="Z19" t="s">
        <v>276</v>
      </c>
      <c r="AA19">
        <v>60</v>
      </c>
      <c r="AB19">
        <v>80</v>
      </c>
      <c r="AC19">
        <v>100</v>
      </c>
      <c r="AD19" s="4" t="s">
        <v>277</v>
      </c>
      <c r="AF19" t="s">
        <v>64</v>
      </c>
      <c r="AU19" t="s">
        <v>282</v>
      </c>
      <c r="AY19">
        <v>0</v>
      </c>
      <c r="AZ19">
        <v>0</v>
      </c>
      <c r="BA19">
        <v>0</v>
      </c>
    </row>
    <row r="20" spans="1:53" ht="15" customHeight="1" x14ac:dyDescent="0.3">
      <c r="A20" t="s">
        <v>273</v>
      </c>
      <c r="B20" t="s">
        <v>52</v>
      </c>
      <c r="C20" t="s">
        <v>53</v>
      </c>
      <c r="D20" t="s">
        <v>130</v>
      </c>
      <c r="E20" t="s">
        <v>131</v>
      </c>
      <c r="F20" t="s">
        <v>131</v>
      </c>
      <c r="H20" t="s">
        <v>132</v>
      </c>
      <c r="I20" t="s">
        <v>133</v>
      </c>
      <c r="J20" t="s">
        <v>134</v>
      </c>
      <c r="K20" t="s">
        <v>134</v>
      </c>
      <c r="M20" t="s">
        <v>135</v>
      </c>
      <c r="N20" t="s">
        <v>136</v>
      </c>
      <c r="O20" t="s">
        <v>137</v>
      </c>
      <c r="P20">
        <v>5</v>
      </c>
      <c r="R20" t="s">
        <v>275</v>
      </c>
      <c r="S20" t="s">
        <v>68</v>
      </c>
      <c r="T20" t="str">
        <f t="shared" si="0"/>
        <v>avg[Overall equipment effectiveness]</v>
      </c>
      <c r="U20" t="b">
        <v>0</v>
      </c>
      <c r="V20" t="b">
        <v>0</v>
      </c>
      <c r="W20" t="b">
        <v>0</v>
      </c>
      <c r="X20" t="b">
        <v>0</v>
      </c>
      <c r="Y20" t="s">
        <v>63</v>
      </c>
      <c r="Z20" t="s">
        <v>276</v>
      </c>
      <c r="AA20">
        <v>60</v>
      </c>
      <c r="AB20">
        <v>80</v>
      </c>
      <c r="AC20">
        <v>100</v>
      </c>
      <c r="AD20" s="4" t="s">
        <v>277</v>
      </c>
      <c r="AF20" t="s">
        <v>64</v>
      </c>
      <c r="AU20" t="s">
        <v>282</v>
      </c>
      <c r="AY20">
        <v>0</v>
      </c>
      <c r="AZ20">
        <v>0</v>
      </c>
      <c r="BA20">
        <v>0</v>
      </c>
    </row>
    <row r="21" spans="1:53" ht="15" customHeight="1" x14ac:dyDescent="0.3">
      <c r="A21" t="s">
        <v>273</v>
      </c>
      <c r="B21" t="s">
        <v>52</v>
      </c>
      <c r="C21" t="s">
        <v>53</v>
      </c>
      <c r="D21" t="s">
        <v>130</v>
      </c>
      <c r="E21" t="s">
        <v>131</v>
      </c>
      <c r="F21" t="s">
        <v>131</v>
      </c>
      <c r="H21" t="s">
        <v>132</v>
      </c>
      <c r="I21" t="s">
        <v>133</v>
      </c>
      <c r="J21" t="s">
        <v>134</v>
      </c>
      <c r="K21" t="s">
        <v>134</v>
      </c>
      <c r="M21" t="s">
        <v>138</v>
      </c>
      <c r="N21" t="s">
        <v>139</v>
      </c>
      <c r="O21" t="s">
        <v>140</v>
      </c>
      <c r="P21">
        <v>5</v>
      </c>
      <c r="R21" t="s">
        <v>275</v>
      </c>
      <c r="S21" t="s">
        <v>68</v>
      </c>
      <c r="T21" t="str">
        <f t="shared" si="0"/>
        <v>avg[Machine downtime]</v>
      </c>
      <c r="U21" t="b">
        <v>0</v>
      </c>
      <c r="V21" t="b">
        <v>0</v>
      </c>
      <c r="W21" t="b">
        <v>0</v>
      </c>
      <c r="X21" t="b">
        <v>0</v>
      </c>
      <c r="Y21" t="s">
        <v>63</v>
      </c>
      <c r="Z21" t="s">
        <v>276</v>
      </c>
      <c r="AA21">
        <v>60</v>
      </c>
      <c r="AB21">
        <v>80</v>
      </c>
      <c r="AC21">
        <v>100</v>
      </c>
      <c r="AD21" s="4" t="s">
        <v>278</v>
      </c>
      <c r="AF21" t="s">
        <v>64</v>
      </c>
      <c r="AU21" t="s">
        <v>282</v>
      </c>
      <c r="AY21">
        <v>0</v>
      </c>
      <c r="AZ21">
        <v>0</v>
      </c>
      <c r="BA21">
        <v>0</v>
      </c>
    </row>
    <row r="22" spans="1:53" ht="15" customHeight="1" x14ac:dyDescent="0.3">
      <c r="A22" t="s">
        <v>273</v>
      </c>
      <c r="B22" t="s">
        <v>52</v>
      </c>
      <c r="C22" t="s">
        <v>53</v>
      </c>
      <c r="D22" t="s">
        <v>130</v>
      </c>
      <c r="E22" t="s">
        <v>131</v>
      </c>
      <c r="F22" t="s">
        <v>131</v>
      </c>
      <c r="H22" t="s">
        <v>132</v>
      </c>
      <c r="I22" t="s">
        <v>133</v>
      </c>
      <c r="J22" t="s">
        <v>134</v>
      </c>
      <c r="K22" t="s">
        <v>134</v>
      </c>
      <c r="M22" t="s">
        <v>141</v>
      </c>
      <c r="N22" t="s">
        <v>142</v>
      </c>
      <c r="O22" t="s">
        <v>143</v>
      </c>
      <c r="P22">
        <v>5</v>
      </c>
      <c r="R22" t="s">
        <v>275</v>
      </c>
      <c r="S22" t="s">
        <v>68</v>
      </c>
      <c r="T22" t="str">
        <f t="shared" si="0"/>
        <v>avg[Production output volume]</v>
      </c>
      <c r="U22" t="b">
        <v>0</v>
      </c>
      <c r="V22" t="b">
        <v>0</v>
      </c>
      <c r="W22" t="b">
        <v>0</v>
      </c>
      <c r="X22" t="b">
        <v>0</v>
      </c>
      <c r="Y22" t="s">
        <v>63</v>
      </c>
      <c r="Z22" t="s">
        <v>276</v>
      </c>
      <c r="AA22">
        <v>60</v>
      </c>
      <c r="AB22">
        <v>80</v>
      </c>
      <c r="AC22">
        <v>100</v>
      </c>
      <c r="AD22" s="4" t="s">
        <v>278</v>
      </c>
      <c r="AF22" t="s">
        <v>64</v>
      </c>
      <c r="AU22" t="s">
        <v>282</v>
      </c>
      <c r="AY22">
        <v>0</v>
      </c>
      <c r="AZ22">
        <v>0</v>
      </c>
      <c r="BA22">
        <v>0</v>
      </c>
    </row>
    <row r="23" spans="1:53" ht="15" customHeight="1" x14ac:dyDescent="0.3">
      <c r="A23" t="s">
        <v>273</v>
      </c>
      <c r="B23" t="s">
        <v>52</v>
      </c>
      <c r="C23" t="s">
        <v>53</v>
      </c>
      <c r="D23" t="s">
        <v>130</v>
      </c>
      <c r="E23" t="s">
        <v>131</v>
      </c>
      <c r="F23" t="s">
        <v>131</v>
      </c>
      <c r="H23" t="s">
        <v>132</v>
      </c>
      <c r="I23" t="s">
        <v>144</v>
      </c>
      <c r="J23" t="s">
        <v>145</v>
      </c>
      <c r="K23" t="s">
        <v>145</v>
      </c>
      <c r="M23" t="s">
        <v>146</v>
      </c>
      <c r="N23" t="s">
        <v>147</v>
      </c>
      <c r="O23" t="s">
        <v>148</v>
      </c>
      <c r="P23">
        <v>5</v>
      </c>
      <c r="R23" t="s">
        <v>275</v>
      </c>
      <c r="S23" t="s">
        <v>68</v>
      </c>
      <c r="T23" t="str">
        <f t="shared" si="0"/>
        <v>avg[Material wastage rate]</v>
      </c>
      <c r="U23" t="b">
        <v>0</v>
      </c>
      <c r="V23" t="b">
        <v>0</v>
      </c>
      <c r="W23" t="b">
        <v>0</v>
      </c>
      <c r="X23" t="b">
        <v>0</v>
      </c>
      <c r="Y23" t="s">
        <v>63</v>
      </c>
      <c r="Z23" t="s">
        <v>276</v>
      </c>
      <c r="AA23">
        <v>60</v>
      </c>
      <c r="AB23">
        <v>80</v>
      </c>
      <c r="AC23">
        <v>100</v>
      </c>
      <c r="AD23" s="4" t="s">
        <v>277</v>
      </c>
      <c r="AF23" t="s">
        <v>64</v>
      </c>
      <c r="AU23" t="s">
        <v>282</v>
      </c>
      <c r="AY23">
        <v>0</v>
      </c>
      <c r="AZ23">
        <v>0</v>
      </c>
      <c r="BA23">
        <v>0</v>
      </c>
    </row>
    <row r="24" spans="1:53" ht="15" customHeight="1" x14ac:dyDescent="0.3">
      <c r="A24" t="s">
        <v>273</v>
      </c>
      <c r="B24" t="s">
        <v>52</v>
      </c>
      <c r="C24" t="s">
        <v>53</v>
      </c>
      <c r="D24" t="s">
        <v>130</v>
      </c>
      <c r="E24" t="s">
        <v>131</v>
      </c>
      <c r="F24" t="s">
        <v>131</v>
      </c>
      <c r="H24" t="s">
        <v>132</v>
      </c>
      <c r="I24" t="s">
        <v>144</v>
      </c>
      <c r="J24" t="s">
        <v>145</v>
      </c>
      <c r="K24" t="s">
        <v>145</v>
      </c>
      <c r="M24" t="s">
        <v>149</v>
      </c>
      <c r="N24" t="s">
        <v>150</v>
      </c>
      <c r="O24" t="s">
        <v>151</v>
      </c>
      <c r="P24">
        <v>5</v>
      </c>
      <c r="R24" t="s">
        <v>275</v>
      </c>
      <c r="S24" t="s">
        <v>68</v>
      </c>
      <c r="T24" t="str">
        <f t="shared" si="0"/>
        <v>avg[Rework rate]</v>
      </c>
      <c r="U24" t="b">
        <v>0</v>
      </c>
      <c r="V24" t="b">
        <v>0</v>
      </c>
      <c r="W24" t="b">
        <v>0</v>
      </c>
      <c r="X24" t="b">
        <v>0</v>
      </c>
      <c r="Y24" t="s">
        <v>63</v>
      </c>
      <c r="Z24" t="s">
        <v>276</v>
      </c>
      <c r="AA24">
        <v>60</v>
      </c>
      <c r="AB24">
        <v>80</v>
      </c>
      <c r="AC24">
        <v>100</v>
      </c>
      <c r="AD24" s="4" t="s">
        <v>277</v>
      </c>
      <c r="AF24" t="s">
        <v>64</v>
      </c>
      <c r="AU24" t="s">
        <v>282</v>
      </c>
      <c r="AY24">
        <v>0</v>
      </c>
      <c r="AZ24">
        <v>0</v>
      </c>
      <c r="BA24">
        <v>0</v>
      </c>
    </row>
    <row r="25" spans="1:53" ht="15" customHeight="1" x14ac:dyDescent="0.3">
      <c r="A25" t="s">
        <v>273</v>
      </c>
      <c r="B25" t="s">
        <v>52</v>
      </c>
      <c r="C25" t="s">
        <v>53</v>
      </c>
      <c r="D25" t="s">
        <v>130</v>
      </c>
      <c r="E25" t="s">
        <v>131</v>
      </c>
      <c r="F25" t="s">
        <v>131</v>
      </c>
      <c r="H25" t="s">
        <v>132</v>
      </c>
      <c r="I25" t="s">
        <v>144</v>
      </c>
      <c r="J25" t="s">
        <v>145</v>
      </c>
      <c r="K25" t="s">
        <v>145</v>
      </c>
      <c r="M25" t="s">
        <v>152</v>
      </c>
      <c r="N25" t="s">
        <v>153</v>
      </c>
      <c r="O25" t="s">
        <v>154</v>
      </c>
      <c r="P25">
        <v>5</v>
      </c>
      <c r="R25" t="s">
        <v>275</v>
      </c>
      <c r="S25" t="s">
        <v>68</v>
      </c>
      <c r="T25" t="str">
        <f t="shared" si="0"/>
        <v>avg[Energy cost per tonne produced]</v>
      </c>
      <c r="U25" t="b">
        <v>0</v>
      </c>
      <c r="V25" t="b">
        <v>0</v>
      </c>
      <c r="W25" t="b">
        <v>0</v>
      </c>
      <c r="X25" t="b">
        <v>0</v>
      </c>
      <c r="Y25" t="s">
        <v>63</v>
      </c>
      <c r="Z25" t="s">
        <v>276</v>
      </c>
      <c r="AA25">
        <v>60</v>
      </c>
      <c r="AB25">
        <v>80</v>
      </c>
      <c r="AC25">
        <v>100</v>
      </c>
      <c r="AD25" s="4" t="s">
        <v>278</v>
      </c>
      <c r="AF25" t="s">
        <v>64</v>
      </c>
      <c r="AU25" t="s">
        <v>282</v>
      </c>
      <c r="AY25">
        <v>0</v>
      </c>
      <c r="AZ25">
        <v>0</v>
      </c>
      <c r="BA25">
        <v>0</v>
      </c>
    </row>
    <row r="26" spans="1:53" ht="15" customHeight="1" x14ac:dyDescent="0.3">
      <c r="A26" t="s">
        <v>273</v>
      </c>
      <c r="B26" t="s">
        <v>52</v>
      </c>
      <c r="C26" t="s">
        <v>53</v>
      </c>
      <c r="D26" t="s">
        <v>130</v>
      </c>
      <c r="E26" t="s">
        <v>131</v>
      </c>
      <c r="F26" t="s">
        <v>131</v>
      </c>
      <c r="H26" t="s">
        <v>132</v>
      </c>
      <c r="I26" t="s">
        <v>155</v>
      </c>
      <c r="J26" t="s">
        <v>156</v>
      </c>
      <c r="K26" t="s">
        <v>156</v>
      </c>
      <c r="M26" t="s">
        <v>157</v>
      </c>
      <c r="N26" t="s">
        <v>158</v>
      </c>
      <c r="O26" t="s">
        <v>159</v>
      </c>
      <c r="P26">
        <v>5</v>
      </c>
      <c r="R26" t="s">
        <v>275</v>
      </c>
      <c r="S26" t="s">
        <v>68</v>
      </c>
      <c r="T26" t="str">
        <f t="shared" si="0"/>
        <v>avg[On-time in-full delivery rate]</v>
      </c>
      <c r="U26" t="b">
        <v>0</v>
      </c>
      <c r="V26" t="b">
        <v>0</v>
      </c>
      <c r="W26" t="b">
        <v>0</v>
      </c>
      <c r="X26" t="b">
        <v>0</v>
      </c>
      <c r="Y26" t="s">
        <v>63</v>
      </c>
      <c r="Z26" t="s">
        <v>276</v>
      </c>
      <c r="AA26">
        <v>60</v>
      </c>
      <c r="AB26">
        <v>80</v>
      </c>
      <c r="AC26">
        <v>100</v>
      </c>
      <c r="AD26" s="4" t="s">
        <v>277</v>
      </c>
      <c r="AF26" t="s">
        <v>64</v>
      </c>
      <c r="AU26" t="s">
        <v>282</v>
      </c>
      <c r="AY26">
        <v>0</v>
      </c>
      <c r="AZ26">
        <v>0</v>
      </c>
      <c r="BA26">
        <v>0</v>
      </c>
    </row>
    <row r="27" spans="1:53" ht="15" customHeight="1" x14ac:dyDescent="0.3">
      <c r="A27" t="s">
        <v>273</v>
      </c>
      <c r="B27" t="s">
        <v>52</v>
      </c>
      <c r="C27" t="s">
        <v>53</v>
      </c>
      <c r="D27" t="s">
        <v>130</v>
      </c>
      <c r="E27" t="s">
        <v>131</v>
      </c>
      <c r="F27" t="s">
        <v>131</v>
      </c>
      <c r="H27" t="s">
        <v>132</v>
      </c>
      <c r="I27" t="s">
        <v>155</v>
      </c>
      <c r="J27" t="s">
        <v>156</v>
      </c>
      <c r="K27" t="s">
        <v>156</v>
      </c>
      <c r="M27" t="s">
        <v>160</v>
      </c>
      <c r="N27" t="s">
        <v>161</v>
      </c>
      <c r="O27" t="s">
        <v>162</v>
      </c>
      <c r="P27">
        <v>5</v>
      </c>
      <c r="R27" t="s">
        <v>275</v>
      </c>
      <c r="S27" t="s">
        <v>68</v>
      </c>
      <c r="T27" t="str">
        <f t="shared" si="0"/>
        <v>avg[Average lead time]</v>
      </c>
      <c r="U27" t="b">
        <v>0</v>
      </c>
      <c r="V27" t="b">
        <v>0</v>
      </c>
      <c r="W27" t="b">
        <v>0</v>
      </c>
      <c r="X27" t="b">
        <v>0</v>
      </c>
      <c r="Y27" t="s">
        <v>63</v>
      </c>
      <c r="Z27" t="s">
        <v>276</v>
      </c>
      <c r="AA27">
        <v>60</v>
      </c>
      <c r="AB27">
        <v>80</v>
      </c>
      <c r="AC27">
        <v>100</v>
      </c>
      <c r="AD27" s="4" t="s">
        <v>278</v>
      </c>
      <c r="AF27" t="s">
        <v>64</v>
      </c>
      <c r="AU27" t="s">
        <v>282</v>
      </c>
      <c r="AY27">
        <v>0</v>
      </c>
      <c r="AZ27">
        <v>0</v>
      </c>
      <c r="BA27">
        <v>0</v>
      </c>
    </row>
    <row r="28" spans="1:53" ht="15" customHeight="1" x14ac:dyDescent="0.3">
      <c r="A28" t="s">
        <v>273</v>
      </c>
      <c r="B28" t="s">
        <v>52</v>
      </c>
      <c r="C28" t="s">
        <v>53</v>
      </c>
      <c r="D28" t="s">
        <v>130</v>
      </c>
      <c r="E28" t="s">
        <v>131</v>
      </c>
      <c r="F28" t="s">
        <v>131</v>
      </c>
      <c r="H28" t="s">
        <v>132</v>
      </c>
      <c r="I28" t="s">
        <v>155</v>
      </c>
      <c r="J28" t="s">
        <v>156</v>
      </c>
      <c r="K28" t="s">
        <v>156</v>
      </c>
      <c r="M28" t="s">
        <v>163</v>
      </c>
      <c r="N28" t="s">
        <v>164</v>
      </c>
      <c r="O28" t="s">
        <v>165</v>
      </c>
      <c r="P28">
        <v>5</v>
      </c>
      <c r="R28" t="s">
        <v>275</v>
      </c>
      <c r="S28" t="s">
        <v>68</v>
      </c>
      <c r="T28" t="str">
        <f t="shared" si="0"/>
        <v>avg[Order fulfilment accuracy]</v>
      </c>
      <c r="U28" t="b">
        <v>0</v>
      </c>
      <c r="V28" t="b">
        <v>0</v>
      </c>
      <c r="W28" t="b">
        <v>0</v>
      </c>
      <c r="X28" t="b">
        <v>0</v>
      </c>
      <c r="Y28" t="s">
        <v>63</v>
      </c>
      <c r="Z28" t="s">
        <v>276</v>
      </c>
      <c r="AA28">
        <v>60</v>
      </c>
      <c r="AB28">
        <v>80</v>
      </c>
      <c r="AC28">
        <v>100</v>
      </c>
      <c r="AD28" s="4" t="s">
        <v>277</v>
      </c>
      <c r="AF28" t="s">
        <v>64</v>
      </c>
      <c r="AU28" t="s">
        <v>282</v>
      </c>
      <c r="AY28">
        <v>0</v>
      </c>
      <c r="AZ28">
        <v>0</v>
      </c>
      <c r="BA28">
        <v>0</v>
      </c>
    </row>
    <row r="29" spans="1:53" ht="15" customHeight="1" x14ac:dyDescent="0.3">
      <c r="A29" t="s">
        <v>273</v>
      </c>
      <c r="B29" t="s">
        <v>52</v>
      </c>
      <c r="C29" t="s">
        <v>53</v>
      </c>
      <c r="D29" t="s">
        <v>166</v>
      </c>
      <c r="E29" t="s">
        <v>167</v>
      </c>
      <c r="F29" t="s">
        <v>167</v>
      </c>
      <c r="H29" t="s">
        <v>168</v>
      </c>
      <c r="I29" t="s">
        <v>169</v>
      </c>
      <c r="J29" t="s">
        <v>170</v>
      </c>
      <c r="K29" t="s">
        <v>170</v>
      </c>
      <c r="M29" t="s">
        <v>171</v>
      </c>
      <c r="N29" t="s">
        <v>172</v>
      </c>
      <c r="O29" t="s">
        <v>173</v>
      </c>
      <c r="P29">
        <v>5</v>
      </c>
      <c r="R29" t="s">
        <v>275</v>
      </c>
      <c r="S29" t="s">
        <v>62</v>
      </c>
      <c r="T29" t="str">
        <f t="shared" si="0"/>
        <v>avg[Kisaju project completion]</v>
      </c>
      <c r="U29" t="b">
        <v>0</v>
      </c>
      <c r="V29" t="b">
        <v>0</v>
      </c>
      <c r="W29" t="b">
        <v>0</v>
      </c>
      <c r="X29" t="b">
        <v>0</v>
      </c>
      <c r="Y29" t="s">
        <v>63</v>
      </c>
      <c r="Z29" t="s">
        <v>276</v>
      </c>
      <c r="AA29">
        <v>60</v>
      </c>
      <c r="AB29">
        <v>80</v>
      </c>
      <c r="AC29">
        <v>100</v>
      </c>
      <c r="AD29" s="4" t="s">
        <v>277</v>
      </c>
      <c r="AF29" t="s">
        <v>64</v>
      </c>
      <c r="AU29" t="s">
        <v>282</v>
      </c>
      <c r="AY29">
        <v>0</v>
      </c>
      <c r="AZ29">
        <v>0</v>
      </c>
      <c r="BA29">
        <v>0</v>
      </c>
    </row>
    <row r="30" spans="1:53" ht="15" customHeight="1" x14ac:dyDescent="0.3">
      <c r="A30" t="s">
        <v>273</v>
      </c>
      <c r="B30" t="s">
        <v>52</v>
      </c>
      <c r="C30" t="s">
        <v>53</v>
      </c>
      <c r="D30" t="s">
        <v>166</v>
      </c>
      <c r="E30" t="s">
        <v>167</v>
      </c>
      <c r="F30" t="s">
        <v>167</v>
      </c>
      <c r="H30" t="s">
        <v>168</v>
      </c>
      <c r="I30" t="s">
        <v>169</v>
      </c>
      <c r="J30" t="s">
        <v>170</v>
      </c>
      <c r="K30" t="s">
        <v>170</v>
      </c>
      <c r="M30" t="s">
        <v>174</v>
      </c>
      <c r="N30" t="s">
        <v>175</v>
      </c>
      <c r="O30" t="s">
        <v>176</v>
      </c>
      <c r="P30">
        <v>5</v>
      </c>
      <c r="R30" t="s">
        <v>275</v>
      </c>
      <c r="S30" t="s">
        <v>62</v>
      </c>
      <c r="T30" t="str">
        <f t="shared" si="0"/>
        <v>avg[Project schedule adherence]</v>
      </c>
      <c r="U30" t="b">
        <v>0</v>
      </c>
      <c r="V30" t="b">
        <v>0</v>
      </c>
      <c r="W30" t="b">
        <v>0</v>
      </c>
      <c r="X30" t="b">
        <v>0</v>
      </c>
      <c r="Y30" t="s">
        <v>63</v>
      </c>
      <c r="Z30" t="s">
        <v>276</v>
      </c>
      <c r="AA30">
        <v>60</v>
      </c>
      <c r="AB30">
        <v>80</v>
      </c>
      <c r="AC30">
        <v>100</v>
      </c>
      <c r="AD30" s="4" t="s">
        <v>277</v>
      </c>
      <c r="AF30" t="s">
        <v>64</v>
      </c>
      <c r="AU30" t="s">
        <v>282</v>
      </c>
      <c r="AY30">
        <v>0</v>
      </c>
      <c r="AZ30">
        <v>0</v>
      </c>
      <c r="BA30">
        <v>0</v>
      </c>
    </row>
    <row r="31" spans="1:53" ht="15" customHeight="1" x14ac:dyDescent="0.3">
      <c r="A31" t="s">
        <v>273</v>
      </c>
      <c r="B31" t="s">
        <v>52</v>
      </c>
      <c r="C31" t="s">
        <v>53</v>
      </c>
      <c r="D31" t="s">
        <v>166</v>
      </c>
      <c r="E31" t="s">
        <v>167</v>
      </c>
      <c r="F31" t="s">
        <v>167</v>
      </c>
      <c r="H31" t="s">
        <v>168</v>
      </c>
      <c r="I31" t="s">
        <v>169</v>
      </c>
      <c r="J31" t="s">
        <v>170</v>
      </c>
      <c r="K31" t="s">
        <v>170</v>
      </c>
      <c r="M31" t="s">
        <v>177</v>
      </c>
      <c r="N31" t="s">
        <v>178</v>
      </c>
      <c r="O31" t="s">
        <v>179</v>
      </c>
      <c r="P31">
        <v>5</v>
      </c>
      <c r="R31" t="s">
        <v>275</v>
      </c>
      <c r="S31" t="s">
        <v>62</v>
      </c>
      <c r="T31" t="str">
        <f t="shared" si="0"/>
        <v>avg[Project milestone delays]</v>
      </c>
      <c r="U31" t="b">
        <v>0</v>
      </c>
      <c r="V31" t="b">
        <v>0</v>
      </c>
      <c r="W31" t="b">
        <v>0</v>
      </c>
      <c r="X31" t="b">
        <v>0</v>
      </c>
      <c r="Y31" t="s">
        <v>63</v>
      </c>
      <c r="Z31" t="s">
        <v>276</v>
      </c>
      <c r="AA31">
        <v>60</v>
      </c>
      <c r="AB31">
        <v>80</v>
      </c>
      <c r="AC31">
        <v>100</v>
      </c>
      <c r="AD31" s="4" t="s">
        <v>278</v>
      </c>
      <c r="AF31" t="s">
        <v>64</v>
      </c>
      <c r="AU31" t="s">
        <v>282</v>
      </c>
      <c r="AY31">
        <v>0</v>
      </c>
      <c r="AZ31">
        <v>0</v>
      </c>
      <c r="BA31">
        <v>0</v>
      </c>
    </row>
    <row r="32" spans="1:53" ht="15" customHeight="1" x14ac:dyDescent="0.3">
      <c r="A32" t="s">
        <v>273</v>
      </c>
      <c r="B32" t="s">
        <v>52</v>
      </c>
      <c r="C32" t="s">
        <v>53</v>
      </c>
      <c r="D32" t="s">
        <v>166</v>
      </c>
      <c r="E32" t="s">
        <v>167</v>
      </c>
      <c r="F32" t="s">
        <v>167</v>
      </c>
      <c r="H32" t="s">
        <v>168</v>
      </c>
      <c r="I32" t="s">
        <v>180</v>
      </c>
      <c r="J32" t="s">
        <v>181</v>
      </c>
      <c r="K32" t="s">
        <v>181</v>
      </c>
      <c r="M32" t="s">
        <v>182</v>
      </c>
      <c r="N32" t="s">
        <v>183</v>
      </c>
      <c r="O32" t="s">
        <v>184</v>
      </c>
      <c r="P32">
        <v>5</v>
      </c>
      <c r="R32" t="s">
        <v>275</v>
      </c>
      <c r="S32" t="s">
        <v>280</v>
      </c>
      <c r="T32" t="str">
        <f t="shared" si="0"/>
        <v>avg[Annual production capacity]</v>
      </c>
      <c r="U32" t="b">
        <v>0</v>
      </c>
      <c r="V32" t="b">
        <v>0</v>
      </c>
      <c r="W32" t="b">
        <v>0</v>
      </c>
      <c r="X32" t="b">
        <v>0</v>
      </c>
      <c r="Y32" t="s">
        <v>63</v>
      </c>
      <c r="Z32" t="s">
        <v>276</v>
      </c>
      <c r="AA32">
        <v>60</v>
      </c>
      <c r="AB32">
        <v>80</v>
      </c>
      <c r="AC32">
        <v>100</v>
      </c>
      <c r="AD32" s="4" t="s">
        <v>278</v>
      </c>
      <c r="AF32" t="s">
        <v>64</v>
      </c>
      <c r="AU32" t="s">
        <v>282</v>
      </c>
      <c r="AY32">
        <v>0</v>
      </c>
      <c r="AZ32">
        <v>0</v>
      </c>
      <c r="BA32">
        <v>0</v>
      </c>
    </row>
    <row r="33" spans="1:53" ht="15" customHeight="1" x14ac:dyDescent="0.3">
      <c r="A33" t="s">
        <v>273</v>
      </c>
      <c r="B33" t="s">
        <v>52</v>
      </c>
      <c r="C33" t="s">
        <v>53</v>
      </c>
      <c r="D33" t="s">
        <v>166</v>
      </c>
      <c r="E33" t="s">
        <v>167</v>
      </c>
      <c r="F33" t="s">
        <v>167</v>
      </c>
      <c r="H33" t="s">
        <v>168</v>
      </c>
      <c r="I33" t="s">
        <v>180</v>
      </c>
      <c r="J33" t="s">
        <v>181</v>
      </c>
      <c r="K33" t="s">
        <v>181</v>
      </c>
      <c r="M33" t="s">
        <v>185</v>
      </c>
      <c r="N33" t="s">
        <v>186</v>
      </c>
      <c r="O33" t="s">
        <v>187</v>
      </c>
      <c r="P33">
        <v>5</v>
      </c>
      <c r="R33" t="s">
        <v>275</v>
      </c>
      <c r="S33" t="s">
        <v>62</v>
      </c>
      <c r="T33" t="str">
        <f t="shared" si="0"/>
        <v>avg[Capacity utilisation rate]</v>
      </c>
      <c r="U33" t="b">
        <v>0</v>
      </c>
      <c r="V33" t="b">
        <v>0</v>
      </c>
      <c r="W33" t="b">
        <v>0</v>
      </c>
      <c r="X33" t="b">
        <v>0</v>
      </c>
      <c r="Y33" t="s">
        <v>63</v>
      </c>
      <c r="Z33" t="s">
        <v>276</v>
      </c>
      <c r="AA33">
        <v>60</v>
      </c>
      <c r="AB33">
        <v>80</v>
      </c>
      <c r="AC33">
        <v>100</v>
      </c>
      <c r="AD33" s="4" t="s">
        <v>277</v>
      </c>
      <c r="AF33" t="s">
        <v>64</v>
      </c>
      <c r="AU33" t="s">
        <v>282</v>
      </c>
      <c r="AY33">
        <v>0</v>
      </c>
      <c r="AZ33">
        <v>0</v>
      </c>
      <c r="BA33">
        <v>0</v>
      </c>
    </row>
    <row r="34" spans="1:53" ht="15" customHeight="1" x14ac:dyDescent="0.3">
      <c r="A34" t="s">
        <v>273</v>
      </c>
      <c r="B34" t="s">
        <v>52</v>
      </c>
      <c r="C34" t="s">
        <v>53</v>
      </c>
      <c r="D34" t="s">
        <v>166</v>
      </c>
      <c r="E34" t="s">
        <v>167</v>
      </c>
      <c r="F34" t="s">
        <v>167</v>
      </c>
      <c r="H34" t="s">
        <v>168</v>
      </c>
      <c r="I34" t="s">
        <v>180</v>
      </c>
      <c r="J34" t="s">
        <v>181</v>
      </c>
      <c r="K34" t="s">
        <v>181</v>
      </c>
      <c r="M34" t="s">
        <v>188</v>
      </c>
      <c r="N34" t="s">
        <v>189</v>
      </c>
      <c r="O34" t="s">
        <v>190</v>
      </c>
      <c r="P34">
        <v>5</v>
      </c>
      <c r="R34" t="s">
        <v>275</v>
      </c>
      <c r="S34" t="s">
        <v>62</v>
      </c>
      <c r="T34" t="str">
        <f t="shared" si="0"/>
        <v>avg[New line commissioning progress]</v>
      </c>
      <c r="U34" t="b">
        <v>0</v>
      </c>
      <c r="V34" t="b">
        <v>0</v>
      </c>
      <c r="W34" t="b">
        <v>0</v>
      </c>
      <c r="X34" t="b">
        <v>0</v>
      </c>
      <c r="Y34" t="s">
        <v>63</v>
      </c>
      <c r="Z34" t="s">
        <v>276</v>
      </c>
      <c r="AA34">
        <v>60</v>
      </c>
      <c r="AB34">
        <v>80</v>
      </c>
      <c r="AC34">
        <v>100</v>
      </c>
      <c r="AD34" s="4" t="s">
        <v>277</v>
      </c>
      <c r="AF34" t="s">
        <v>64</v>
      </c>
      <c r="AU34" t="s">
        <v>282</v>
      </c>
      <c r="AY34">
        <v>0</v>
      </c>
      <c r="AZ34">
        <v>0</v>
      </c>
      <c r="BA34">
        <v>0</v>
      </c>
    </row>
    <row r="35" spans="1:53" ht="15" customHeight="1" x14ac:dyDescent="0.3">
      <c r="A35" t="s">
        <v>273</v>
      </c>
      <c r="B35" t="s">
        <v>52</v>
      </c>
      <c r="C35" t="s">
        <v>53</v>
      </c>
      <c r="D35" t="s">
        <v>166</v>
      </c>
      <c r="E35" t="s">
        <v>167</v>
      </c>
      <c r="F35" t="s">
        <v>167</v>
      </c>
      <c r="H35" t="s">
        <v>168</v>
      </c>
      <c r="I35" t="s">
        <v>191</v>
      </c>
      <c r="J35" t="s">
        <v>192</v>
      </c>
      <c r="K35" t="s">
        <v>192</v>
      </c>
      <c r="M35" t="s">
        <v>193</v>
      </c>
      <c r="N35" t="s">
        <v>194</v>
      </c>
      <c r="O35" t="s">
        <v>195</v>
      </c>
      <c r="P35">
        <v>5</v>
      </c>
      <c r="R35" t="s">
        <v>275</v>
      </c>
      <c r="S35" t="s">
        <v>62</v>
      </c>
      <c r="T35" t="str">
        <f t="shared" si="0"/>
        <v>avg[Capital expenditure budget variance]</v>
      </c>
      <c r="U35" t="b">
        <v>0</v>
      </c>
      <c r="V35" t="b">
        <v>0</v>
      </c>
      <c r="W35" t="b">
        <v>0</v>
      </c>
      <c r="X35" t="b">
        <v>0</v>
      </c>
      <c r="Y35" t="s">
        <v>63</v>
      </c>
      <c r="Z35" t="s">
        <v>276</v>
      </c>
      <c r="AA35">
        <v>60</v>
      </c>
      <c r="AB35">
        <v>80</v>
      </c>
      <c r="AC35">
        <v>100</v>
      </c>
      <c r="AD35" s="4" t="s">
        <v>277</v>
      </c>
      <c r="AF35" t="s">
        <v>64</v>
      </c>
      <c r="AU35" t="s">
        <v>282</v>
      </c>
      <c r="AY35">
        <v>0</v>
      </c>
      <c r="AZ35">
        <v>0</v>
      </c>
      <c r="BA35">
        <v>0</v>
      </c>
    </row>
    <row r="36" spans="1:53" ht="15" customHeight="1" x14ac:dyDescent="0.3">
      <c r="A36" t="s">
        <v>273</v>
      </c>
      <c r="B36" t="s">
        <v>52</v>
      </c>
      <c r="C36" t="s">
        <v>53</v>
      </c>
      <c r="D36" t="s">
        <v>166</v>
      </c>
      <c r="E36" t="s">
        <v>167</v>
      </c>
      <c r="F36" t="s">
        <v>167</v>
      </c>
      <c r="H36" t="s">
        <v>168</v>
      </c>
      <c r="I36" t="s">
        <v>191</v>
      </c>
      <c r="J36" t="s">
        <v>192</v>
      </c>
      <c r="K36" t="s">
        <v>192</v>
      </c>
      <c r="M36" t="s">
        <v>196</v>
      </c>
      <c r="N36" t="s">
        <v>197</v>
      </c>
      <c r="O36" t="s">
        <v>198</v>
      </c>
      <c r="P36">
        <v>5</v>
      </c>
      <c r="R36" t="s">
        <v>275</v>
      </c>
      <c r="S36" t="s">
        <v>62</v>
      </c>
      <c r="T36" t="str">
        <f t="shared" si="0"/>
        <v>avg[Capex disbursement against plan]</v>
      </c>
      <c r="U36" t="b">
        <v>0</v>
      </c>
      <c r="V36" t="b">
        <v>0</v>
      </c>
      <c r="W36" t="b">
        <v>0</v>
      </c>
      <c r="X36" t="b">
        <v>0</v>
      </c>
      <c r="Y36" t="s">
        <v>63</v>
      </c>
      <c r="Z36" t="s">
        <v>276</v>
      </c>
      <c r="AA36">
        <v>60</v>
      </c>
      <c r="AB36">
        <v>80</v>
      </c>
      <c r="AC36">
        <v>100</v>
      </c>
      <c r="AD36" s="4" t="s">
        <v>277</v>
      </c>
      <c r="AF36" t="s">
        <v>64</v>
      </c>
      <c r="AU36" t="s">
        <v>282</v>
      </c>
      <c r="AY36">
        <v>0</v>
      </c>
      <c r="AZ36">
        <v>0</v>
      </c>
      <c r="BA36">
        <v>0</v>
      </c>
    </row>
    <row r="37" spans="1:53" ht="15" customHeight="1" x14ac:dyDescent="0.3">
      <c r="A37" t="s">
        <v>273</v>
      </c>
      <c r="B37" t="s">
        <v>52</v>
      </c>
      <c r="C37" t="s">
        <v>53</v>
      </c>
      <c r="D37" t="s">
        <v>166</v>
      </c>
      <c r="E37" t="s">
        <v>167</v>
      </c>
      <c r="F37" t="s">
        <v>167</v>
      </c>
      <c r="H37" t="s">
        <v>168</v>
      </c>
      <c r="I37" t="s">
        <v>191</v>
      </c>
      <c r="J37" t="s">
        <v>192</v>
      </c>
      <c r="K37" t="s">
        <v>192</v>
      </c>
      <c r="M37" t="s">
        <v>199</v>
      </c>
      <c r="N37" t="s">
        <v>200</v>
      </c>
      <c r="O37" t="s">
        <v>201</v>
      </c>
      <c r="P37">
        <v>5</v>
      </c>
      <c r="R37" t="s">
        <v>275</v>
      </c>
      <c r="S37" t="s">
        <v>280</v>
      </c>
      <c r="T37" t="str">
        <f t="shared" si="0"/>
        <v>avg[Cost per tonne of new capacity installed]</v>
      </c>
      <c r="U37" t="b">
        <v>0</v>
      </c>
      <c r="V37" t="b">
        <v>0</v>
      </c>
      <c r="W37" t="b">
        <v>0</v>
      </c>
      <c r="X37" t="b">
        <v>0</v>
      </c>
      <c r="Y37" t="s">
        <v>63</v>
      </c>
      <c r="Z37" t="s">
        <v>276</v>
      </c>
      <c r="AA37">
        <v>60</v>
      </c>
      <c r="AB37">
        <v>80</v>
      </c>
      <c r="AC37">
        <v>100</v>
      </c>
      <c r="AD37" s="4" t="s">
        <v>278</v>
      </c>
      <c r="AF37" t="s">
        <v>64</v>
      </c>
      <c r="AU37" t="s">
        <v>282</v>
      </c>
      <c r="AY37">
        <v>0</v>
      </c>
      <c r="AZ37">
        <v>0</v>
      </c>
      <c r="BA37">
        <v>0</v>
      </c>
    </row>
    <row r="38" spans="1:53" ht="15" customHeight="1" x14ac:dyDescent="0.3">
      <c r="A38" t="s">
        <v>273</v>
      </c>
      <c r="B38" t="s">
        <v>52</v>
      </c>
      <c r="C38" t="s">
        <v>53</v>
      </c>
      <c r="D38" t="s">
        <v>202</v>
      </c>
      <c r="E38" t="s">
        <v>274</v>
      </c>
      <c r="F38" t="s">
        <v>274</v>
      </c>
      <c r="H38" t="s">
        <v>203</v>
      </c>
      <c r="I38" t="s">
        <v>204</v>
      </c>
      <c r="J38" t="s">
        <v>205</v>
      </c>
      <c r="K38" t="s">
        <v>205</v>
      </c>
      <c r="M38" t="s">
        <v>206</v>
      </c>
      <c r="N38" t="s">
        <v>207</v>
      </c>
      <c r="O38" t="s">
        <v>208</v>
      </c>
      <c r="P38">
        <v>5</v>
      </c>
      <c r="R38" t="s">
        <v>275</v>
      </c>
      <c r="S38" t="s">
        <v>62</v>
      </c>
      <c r="T38" t="str">
        <f t="shared" si="0"/>
        <v>avg[NSE and CMA disclosure compliance rate]</v>
      </c>
      <c r="U38" t="b">
        <v>0</v>
      </c>
      <c r="V38" t="b">
        <v>0</v>
      </c>
      <c r="W38" t="b">
        <v>0</v>
      </c>
      <c r="X38" t="b">
        <v>0</v>
      </c>
      <c r="Y38" t="s">
        <v>63</v>
      </c>
      <c r="Z38" t="s">
        <v>276</v>
      </c>
      <c r="AA38">
        <v>60</v>
      </c>
      <c r="AB38">
        <v>80</v>
      </c>
      <c r="AC38">
        <v>100</v>
      </c>
      <c r="AD38" s="4" t="s">
        <v>277</v>
      </c>
      <c r="AF38" t="s">
        <v>64</v>
      </c>
      <c r="AU38" t="s">
        <v>282</v>
      </c>
      <c r="AY38">
        <v>0</v>
      </c>
      <c r="AZ38">
        <v>0</v>
      </c>
      <c r="BA38">
        <v>0</v>
      </c>
    </row>
    <row r="39" spans="1:53" ht="15" customHeight="1" x14ac:dyDescent="0.3">
      <c r="A39" t="s">
        <v>273</v>
      </c>
      <c r="B39" t="s">
        <v>52</v>
      </c>
      <c r="C39" t="s">
        <v>53</v>
      </c>
      <c r="D39" t="s">
        <v>202</v>
      </c>
      <c r="E39" t="s">
        <v>274</v>
      </c>
      <c r="F39" t="s">
        <v>274</v>
      </c>
      <c r="H39" t="s">
        <v>203</v>
      </c>
      <c r="I39" t="s">
        <v>204</v>
      </c>
      <c r="J39" t="s">
        <v>205</v>
      </c>
      <c r="K39" t="s">
        <v>205</v>
      </c>
      <c r="M39" t="s">
        <v>209</v>
      </c>
      <c r="N39" t="s">
        <v>210</v>
      </c>
      <c r="O39" t="s">
        <v>211</v>
      </c>
      <c r="P39">
        <v>5</v>
      </c>
      <c r="R39" t="s">
        <v>275</v>
      </c>
      <c r="S39" t="s">
        <v>62</v>
      </c>
      <c r="T39" t="str">
        <f t="shared" si="0"/>
        <v>avg[Number of late regulatory filings]</v>
      </c>
      <c r="U39" t="b">
        <v>0</v>
      </c>
      <c r="V39" t="b">
        <v>0</v>
      </c>
      <c r="W39" t="b">
        <v>0</v>
      </c>
      <c r="X39" t="b">
        <v>0</v>
      </c>
      <c r="Y39" t="s">
        <v>63</v>
      </c>
      <c r="Z39" t="s">
        <v>276</v>
      </c>
      <c r="AA39">
        <v>60</v>
      </c>
      <c r="AB39">
        <v>80</v>
      </c>
      <c r="AC39">
        <v>100</v>
      </c>
      <c r="AD39" s="4" t="s">
        <v>278</v>
      </c>
      <c r="AF39" t="s">
        <v>64</v>
      </c>
      <c r="AU39" t="s">
        <v>282</v>
      </c>
      <c r="AY39">
        <v>0</v>
      </c>
      <c r="AZ39">
        <v>0</v>
      </c>
      <c r="BA39">
        <v>0</v>
      </c>
    </row>
    <row r="40" spans="1:53" ht="15" customHeight="1" x14ac:dyDescent="0.3">
      <c r="A40" t="s">
        <v>273</v>
      </c>
      <c r="B40" t="s">
        <v>52</v>
      </c>
      <c r="C40" t="s">
        <v>53</v>
      </c>
      <c r="D40" t="s">
        <v>202</v>
      </c>
      <c r="E40" t="s">
        <v>274</v>
      </c>
      <c r="F40" t="s">
        <v>274</v>
      </c>
      <c r="H40" t="s">
        <v>203</v>
      </c>
      <c r="I40" t="s">
        <v>204</v>
      </c>
      <c r="J40" t="s">
        <v>205</v>
      </c>
      <c r="K40" t="s">
        <v>205</v>
      </c>
      <c r="M40" t="s">
        <v>212</v>
      </c>
      <c r="N40" t="s">
        <v>213</v>
      </c>
      <c r="O40" t="s">
        <v>214</v>
      </c>
      <c r="P40">
        <v>5</v>
      </c>
      <c r="R40" t="s">
        <v>275</v>
      </c>
      <c r="S40" t="s">
        <v>280</v>
      </c>
      <c r="T40" t="str">
        <f t="shared" si="0"/>
        <v>avg[Board governance training completion rate]</v>
      </c>
      <c r="U40" t="b">
        <v>0</v>
      </c>
      <c r="V40" t="b">
        <v>0</v>
      </c>
      <c r="W40" t="b">
        <v>0</v>
      </c>
      <c r="X40" t="b">
        <v>0</v>
      </c>
      <c r="Y40" t="s">
        <v>63</v>
      </c>
      <c r="Z40" t="s">
        <v>276</v>
      </c>
      <c r="AA40">
        <v>60</v>
      </c>
      <c r="AB40">
        <v>80</v>
      </c>
      <c r="AC40">
        <v>100</v>
      </c>
      <c r="AD40" s="4" t="s">
        <v>277</v>
      </c>
      <c r="AF40" t="s">
        <v>64</v>
      </c>
      <c r="AU40" t="s">
        <v>282</v>
      </c>
      <c r="AY40">
        <v>0</v>
      </c>
      <c r="AZ40">
        <v>0</v>
      </c>
      <c r="BA40">
        <v>0</v>
      </c>
    </row>
    <row r="41" spans="1:53" ht="15" customHeight="1" x14ac:dyDescent="0.3">
      <c r="A41" t="s">
        <v>273</v>
      </c>
      <c r="B41" t="s">
        <v>52</v>
      </c>
      <c r="C41" t="s">
        <v>53</v>
      </c>
      <c r="D41" t="s">
        <v>202</v>
      </c>
      <c r="E41" t="s">
        <v>274</v>
      </c>
      <c r="F41" t="s">
        <v>274</v>
      </c>
      <c r="H41" t="s">
        <v>203</v>
      </c>
      <c r="I41" t="s">
        <v>215</v>
      </c>
      <c r="J41" t="s">
        <v>216</v>
      </c>
      <c r="K41" t="s">
        <v>216</v>
      </c>
      <c r="M41" t="s">
        <v>217</v>
      </c>
      <c r="N41" t="s">
        <v>218</v>
      </c>
      <c r="O41" t="s">
        <v>219</v>
      </c>
      <c r="P41">
        <v>5</v>
      </c>
      <c r="R41" t="s">
        <v>275</v>
      </c>
      <c r="S41" t="s">
        <v>68</v>
      </c>
      <c r="T41" t="str">
        <f t="shared" si="0"/>
        <v>avg[Cash conversion cycle]</v>
      </c>
      <c r="U41" t="b">
        <v>0</v>
      </c>
      <c r="V41" t="b">
        <v>0</v>
      </c>
      <c r="W41" t="b">
        <v>0</v>
      </c>
      <c r="X41" t="b">
        <v>0</v>
      </c>
      <c r="Y41" t="s">
        <v>63</v>
      </c>
      <c r="Z41" t="s">
        <v>276</v>
      </c>
      <c r="AA41">
        <v>60</v>
      </c>
      <c r="AB41">
        <v>80</v>
      </c>
      <c r="AC41">
        <v>100</v>
      </c>
      <c r="AD41" s="4" t="s">
        <v>278</v>
      </c>
      <c r="AF41" t="s">
        <v>64</v>
      </c>
      <c r="AU41" t="s">
        <v>282</v>
      </c>
      <c r="AY41">
        <v>0</v>
      </c>
      <c r="AZ41">
        <v>0</v>
      </c>
      <c r="BA41">
        <v>0</v>
      </c>
    </row>
    <row r="42" spans="1:53" ht="15" customHeight="1" x14ac:dyDescent="0.3">
      <c r="A42" t="s">
        <v>273</v>
      </c>
      <c r="B42" t="s">
        <v>52</v>
      </c>
      <c r="C42" t="s">
        <v>53</v>
      </c>
      <c r="D42" t="s">
        <v>202</v>
      </c>
      <c r="E42" t="s">
        <v>274</v>
      </c>
      <c r="F42" t="s">
        <v>274</v>
      </c>
      <c r="H42" t="s">
        <v>203</v>
      </c>
      <c r="I42" t="s">
        <v>215</v>
      </c>
      <c r="J42" t="s">
        <v>216</v>
      </c>
      <c r="K42" t="s">
        <v>216</v>
      </c>
      <c r="M42" t="s">
        <v>220</v>
      </c>
      <c r="N42" t="s">
        <v>221</v>
      </c>
      <c r="O42" t="s">
        <v>222</v>
      </c>
      <c r="P42">
        <v>5</v>
      </c>
      <c r="R42" t="s">
        <v>275</v>
      </c>
      <c r="S42" t="s">
        <v>68</v>
      </c>
      <c r="T42" t="str">
        <f t="shared" si="0"/>
        <v>avg[Days sales outstanding]</v>
      </c>
      <c r="U42" t="b">
        <v>0</v>
      </c>
      <c r="V42" t="b">
        <v>0</v>
      </c>
      <c r="W42" t="b">
        <v>0</v>
      </c>
      <c r="X42" t="b">
        <v>0</v>
      </c>
      <c r="Y42" t="s">
        <v>63</v>
      </c>
      <c r="Z42" t="s">
        <v>276</v>
      </c>
      <c r="AA42">
        <v>60</v>
      </c>
      <c r="AB42">
        <v>80</v>
      </c>
      <c r="AC42">
        <v>100</v>
      </c>
      <c r="AD42" s="4" t="s">
        <v>278</v>
      </c>
      <c r="AF42" t="s">
        <v>64</v>
      </c>
      <c r="AU42" t="s">
        <v>282</v>
      </c>
      <c r="AY42">
        <v>0</v>
      </c>
      <c r="AZ42">
        <v>0</v>
      </c>
      <c r="BA42">
        <v>0</v>
      </c>
    </row>
    <row r="43" spans="1:53" ht="15" customHeight="1" x14ac:dyDescent="0.3">
      <c r="A43" t="s">
        <v>273</v>
      </c>
      <c r="B43" t="s">
        <v>52</v>
      </c>
      <c r="C43" t="s">
        <v>53</v>
      </c>
      <c r="D43" t="s">
        <v>202</v>
      </c>
      <c r="E43" t="s">
        <v>274</v>
      </c>
      <c r="F43" t="s">
        <v>274</v>
      </c>
      <c r="H43" t="s">
        <v>203</v>
      </c>
      <c r="I43" t="s">
        <v>215</v>
      </c>
      <c r="J43" t="s">
        <v>216</v>
      </c>
      <c r="K43" t="s">
        <v>216</v>
      </c>
      <c r="M43" t="s">
        <v>223</v>
      </c>
      <c r="N43" t="s">
        <v>224</v>
      </c>
      <c r="O43" t="s">
        <v>225</v>
      </c>
      <c r="P43">
        <v>5</v>
      </c>
      <c r="R43" t="s">
        <v>275</v>
      </c>
      <c r="S43" t="s">
        <v>68</v>
      </c>
      <c r="T43" t="str">
        <f t="shared" si="0"/>
        <v>avg[Days payable outstanding]</v>
      </c>
      <c r="U43" t="b">
        <v>0</v>
      </c>
      <c r="V43" t="b">
        <v>0</v>
      </c>
      <c r="W43" t="b">
        <v>0</v>
      </c>
      <c r="X43" t="b">
        <v>0</v>
      </c>
      <c r="Y43" t="s">
        <v>63</v>
      </c>
      <c r="Z43" t="s">
        <v>276</v>
      </c>
      <c r="AA43">
        <v>60</v>
      </c>
      <c r="AB43">
        <v>80</v>
      </c>
      <c r="AC43">
        <v>100</v>
      </c>
      <c r="AD43" s="4" t="s">
        <v>278</v>
      </c>
      <c r="AF43" t="s">
        <v>64</v>
      </c>
      <c r="AU43" t="s">
        <v>282</v>
      </c>
      <c r="AY43">
        <v>0</v>
      </c>
      <c r="AZ43">
        <v>0</v>
      </c>
      <c r="BA43">
        <v>0</v>
      </c>
    </row>
    <row r="44" spans="1:53" ht="15" customHeight="1" x14ac:dyDescent="0.3">
      <c r="A44" t="s">
        <v>273</v>
      </c>
      <c r="B44" t="s">
        <v>52</v>
      </c>
      <c r="C44" t="s">
        <v>53</v>
      </c>
      <c r="D44" t="s">
        <v>202</v>
      </c>
      <c r="E44" t="s">
        <v>274</v>
      </c>
      <c r="F44" t="s">
        <v>274</v>
      </c>
      <c r="H44" t="s">
        <v>203</v>
      </c>
      <c r="I44" t="s">
        <v>226</v>
      </c>
      <c r="J44" t="s">
        <v>227</v>
      </c>
      <c r="K44" t="s">
        <v>227</v>
      </c>
      <c r="M44" t="s">
        <v>228</v>
      </c>
      <c r="N44" t="s">
        <v>229</v>
      </c>
      <c r="O44" t="s">
        <v>230</v>
      </c>
      <c r="P44">
        <v>5</v>
      </c>
      <c r="R44" t="s">
        <v>275</v>
      </c>
      <c r="S44" t="s">
        <v>62</v>
      </c>
      <c r="T44" t="str">
        <f t="shared" si="0"/>
        <v>avg[Debt to equity ratio]</v>
      </c>
      <c r="U44" t="b">
        <v>0</v>
      </c>
      <c r="V44" t="b">
        <v>0</v>
      </c>
      <c r="W44" t="b">
        <v>0</v>
      </c>
      <c r="X44" t="b">
        <v>0</v>
      </c>
      <c r="Y44" t="s">
        <v>63</v>
      </c>
      <c r="Z44" t="s">
        <v>276</v>
      </c>
      <c r="AA44">
        <v>60</v>
      </c>
      <c r="AB44">
        <v>80</v>
      </c>
      <c r="AC44">
        <v>100</v>
      </c>
      <c r="AD44" s="4" t="s">
        <v>278</v>
      </c>
      <c r="AF44" t="s">
        <v>64</v>
      </c>
      <c r="AU44" t="s">
        <v>282</v>
      </c>
      <c r="AY44">
        <v>0</v>
      </c>
      <c r="AZ44">
        <v>0</v>
      </c>
      <c r="BA44">
        <v>0</v>
      </c>
    </row>
    <row r="45" spans="1:53" ht="15" customHeight="1" x14ac:dyDescent="0.3">
      <c r="A45" t="s">
        <v>273</v>
      </c>
      <c r="B45" t="s">
        <v>52</v>
      </c>
      <c r="C45" t="s">
        <v>53</v>
      </c>
      <c r="D45" t="s">
        <v>202</v>
      </c>
      <c r="E45" t="s">
        <v>274</v>
      </c>
      <c r="F45" t="s">
        <v>274</v>
      </c>
      <c r="H45" t="s">
        <v>203</v>
      </c>
      <c r="I45" t="s">
        <v>226</v>
      </c>
      <c r="J45" t="s">
        <v>227</v>
      </c>
      <c r="K45" t="s">
        <v>227</v>
      </c>
      <c r="M45" t="s">
        <v>231</v>
      </c>
      <c r="N45" t="s">
        <v>232</v>
      </c>
      <c r="O45" t="s">
        <v>233</v>
      </c>
      <c r="P45">
        <v>5</v>
      </c>
      <c r="R45" t="s">
        <v>275</v>
      </c>
      <c r="S45" t="s">
        <v>62</v>
      </c>
      <c r="T45" t="str">
        <f t="shared" si="0"/>
        <v>avg[Interest cover ratio]</v>
      </c>
      <c r="U45" t="b">
        <v>0</v>
      </c>
      <c r="V45" t="b">
        <v>0</v>
      </c>
      <c r="W45" t="b">
        <v>0</v>
      </c>
      <c r="X45" t="b">
        <v>0</v>
      </c>
      <c r="Y45" t="s">
        <v>63</v>
      </c>
      <c r="Z45" t="s">
        <v>276</v>
      </c>
      <c r="AA45">
        <v>60</v>
      </c>
      <c r="AB45">
        <v>80</v>
      </c>
      <c r="AC45">
        <v>100</v>
      </c>
      <c r="AD45" s="4" t="s">
        <v>278</v>
      </c>
      <c r="AF45" t="s">
        <v>64</v>
      </c>
      <c r="AU45" t="s">
        <v>282</v>
      </c>
      <c r="AY45">
        <v>0</v>
      </c>
      <c r="AZ45">
        <v>0</v>
      </c>
      <c r="BA45">
        <v>0</v>
      </c>
    </row>
    <row r="46" spans="1:53" ht="15" customHeight="1" x14ac:dyDescent="0.3">
      <c r="A46" t="s">
        <v>273</v>
      </c>
      <c r="B46" t="s">
        <v>52</v>
      </c>
      <c r="C46" t="s">
        <v>53</v>
      </c>
      <c r="D46" t="s">
        <v>202</v>
      </c>
      <c r="E46" t="s">
        <v>274</v>
      </c>
      <c r="F46" t="s">
        <v>274</v>
      </c>
      <c r="H46" t="s">
        <v>203</v>
      </c>
      <c r="I46" t="s">
        <v>226</v>
      </c>
      <c r="J46" t="s">
        <v>227</v>
      </c>
      <c r="K46" t="s">
        <v>227</v>
      </c>
      <c r="M46" t="s">
        <v>234</v>
      </c>
      <c r="N46" t="s">
        <v>235</v>
      </c>
      <c r="O46" t="s">
        <v>236</v>
      </c>
      <c r="P46">
        <v>5</v>
      </c>
      <c r="R46" t="s">
        <v>275</v>
      </c>
      <c r="S46" t="s">
        <v>62</v>
      </c>
      <c r="T46" t="str">
        <f t="shared" si="0"/>
        <v>avg[Foreign currency exposure hedged]</v>
      </c>
      <c r="U46" t="b">
        <v>0</v>
      </c>
      <c r="V46" t="b">
        <v>0</v>
      </c>
      <c r="W46" t="b">
        <v>0</v>
      </c>
      <c r="X46" t="b">
        <v>0</v>
      </c>
      <c r="Y46" t="s">
        <v>63</v>
      </c>
      <c r="Z46" t="s">
        <v>276</v>
      </c>
      <c r="AA46">
        <v>60</v>
      </c>
      <c r="AB46">
        <v>80</v>
      </c>
      <c r="AC46">
        <v>100</v>
      </c>
      <c r="AD46" s="4" t="s">
        <v>277</v>
      </c>
      <c r="AF46" t="s">
        <v>64</v>
      </c>
      <c r="AU46" t="s">
        <v>282</v>
      </c>
      <c r="AY46">
        <v>0</v>
      </c>
      <c r="AZ46">
        <v>0</v>
      </c>
      <c r="BA46">
        <v>0</v>
      </c>
    </row>
    <row r="47" spans="1:53" ht="15" customHeight="1" x14ac:dyDescent="0.3">
      <c r="A47" t="s">
        <v>273</v>
      </c>
      <c r="B47" t="s">
        <v>52</v>
      </c>
      <c r="C47" t="s">
        <v>53</v>
      </c>
      <c r="D47" t="s">
        <v>237</v>
      </c>
      <c r="E47" t="s">
        <v>238</v>
      </c>
      <c r="F47" t="s">
        <v>238</v>
      </c>
      <c r="H47" t="s">
        <v>239</v>
      </c>
      <c r="I47" t="s">
        <v>240</v>
      </c>
      <c r="J47" t="s">
        <v>241</v>
      </c>
      <c r="K47" t="s">
        <v>241</v>
      </c>
      <c r="M47" t="s">
        <v>242</v>
      </c>
      <c r="N47" t="s">
        <v>243</v>
      </c>
      <c r="O47" t="s">
        <v>244</v>
      </c>
      <c r="P47">
        <v>5</v>
      </c>
      <c r="R47" t="s">
        <v>275</v>
      </c>
      <c r="S47" t="s">
        <v>281</v>
      </c>
      <c r="T47" t="str">
        <f t="shared" si="0"/>
        <v>avg[Employee engagement score]</v>
      </c>
      <c r="U47" t="b">
        <v>0</v>
      </c>
      <c r="V47" t="b">
        <v>0</v>
      </c>
      <c r="W47" t="b">
        <v>0</v>
      </c>
      <c r="X47" t="b">
        <v>0</v>
      </c>
      <c r="Y47" t="s">
        <v>63</v>
      </c>
      <c r="Z47" t="s">
        <v>276</v>
      </c>
      <c r="AA47">
        <v>60</v>
      </c>
      <c r="AB47">
        <v>80</v>
      </c>
      <c r="AC47">
        <v>100</v>
      </c>
      <c r="AD47" s="4" t="s">
        <v>278</v>
      </c>
      <c r="AF47" t="s">
        <v>64</v>
      </c>
      <c r="AU47" t="s">
        <v>282</v>
      </c>
      <c r="AY47">
        <v>0</v>
      </c>
      <c r="AZ47">
        <v>0</v>
      </c>
      <c r="BA47">
        <v>0</v>
      </c>
    </row>
    <row r="48" spans="1:53" ht="15" customHeight="1" x14ac:dyDescent="0.3">
      <c r="A48" t="s">
        <v>273</v>
      </c>
      <c r="B48" t="s">
        <v>52</v>
      </c>
      <c r="C48" t="s">
        <v>53</v>
      </c>
      <c r="D48" t="s">
        <v>237</v>
      </c>
      <c r="E48" t="s">
        <v>238</v>
      </c>
      <c r="F48" t="s">
        <v>238</v>
      </c>
      <c r="H48" t="s">
        <v>239</v>
      </c>
      <c r="I48" t="s">
        <v>240</v>
      </c>
      <c r="J48" t="s">
        <v>241</v>
      </c>
      <c r="K48" t="s">
        <v>241</v>
      </c>
      <c r="M48" t="s">
        <v>245</v>
      </c>
      <c r="N48" t="s">
        <v>246</v>
      </c>
      <c r="O48" t="s">
        <v>247</v>
      </c>
      <c r="P48">
        <v>5</v>
      </c>
      <c r="R48" t="s">
        <v>275</v>
      </c>
      <c r="S48" t="s">
        <v>62</v>
      </c>
      <c r="T48" t="str">
        <f t="shared" si="0"/>
        <v>avg[Staff turnover rate]</v>
      </c>
      <c r="U48" t="b">
        <v>0</v>
      </c>
      <c r="V48" t="b">
        <v>0</v>
      </c>
      <c r="W48" t="b">
        <v>0</v>
      </c>
      <c r="X48" t="b">
        <v>0</v>
      </c>
      <c r="Y48" t="s">
        <v>63</v>
      </c>
      <c r="Z48" t="s">
        <v>276</v>
      </c>
      <c r="AA48">
        <v>60</v>
      </c>
      <c r="AB48">
        <v>80</v>
      </c>
      <c r="AC48">
        <v>100</v>
      </c>
      <c r="AD48" s="4" t="s">
        <v>277</v>
      </c>
      <c r="AF48" t="s">
        <v>64</v>
      </c>
      <c r="AU48" t="s">
        <v>282</v>
      </c>
      <c r="AY48">
        <v>0</v>
      </c>
      <c r="AZ48">
        <v>0</v>
      </c>
      <c r="BA48">
        <v>0</v>
      </c>
    </row>
    <row r="49" spans="1:53" ht="15" customHeight="1" x14ac:dyDescent="0.3">
      <c r="A49" t="s">
        <v>273</v>
      </c>
      <c r="B49" t="s">
        <v>52</v>
      </c>
      <c r="C49" t="s">
        <v>53</v>
      </c>
      <c r="D49" t="s">
        <v>237</v>
      </c>
      <c r="E49" t="s">
        <v>238</v>
      </c>
      <c r="F49" t="s">
        <v>238</v>
      </c>
      <c r="H49" t="s">
        <v>239</v>
      </c>
      <c r="I49" t="s">
        <v>240</v>
      </c>
      <c r="J49" t="s">
        <v>241</v>
      </c>
      <c r="K49" t="s">
        <v>241</v>
      </c>
      <c r="M49" t="s">
        <v>248</v>
      </c>
      <c r="N49" t="s">
        <v>249</v>
      </c>
      <c r="O49" t="s">
        <v>250</v>
      </c>
      <c r="P49">
        <v>5</v>
      </c>
      <c r="R49" t="s">
        <v>275</v>
      </c>
      <c r="S49" t="s">
        <v>68</v>
      </c>
      <c r="T49" t="str">
        <f t="shared" si="0"/>
        <v>avg[Absenteeism rate]</v>
      </c>
      <c r="U49" t="b">
        <v>0</v>
      </c>
      <c r="V49" t="b">
        <v>0</v>
      </c>
      <c r="W49" t="b">
        <v>0</v>
      </c>
      <c r="X49" t="b">
        <v>0</v>
      </c>
      <c r="Y49" t="s">
        <v>63</v>
      </c>
      <c r="Z49" t="s">
        <v>276</v>
      </c>
      <c r="AA49">
        <v>60</v>
      </c>
      <c r="AB49">
        <v>80</v>
      </c>
      <c r="AC49">
        <v>100</v>
      </c>
      <c r="AD49" s="4" t="s">
        <v>277</v>
      </c>
      <c r="AF49" t="s">
        <v>64</v>
      </c>
      <c r="AU49" t="s">
        <v>282</v>
      </c>
      <c r="AY49">
        <v>0</v>
      </c>
      <c r="AZ49">
        <v>0</v>
      </c>
      <c r="BA49">
        <v>0</v>
      </c>
    </row>
    <row r="50" spans="1:53" ht="15" customHeight="1" x14ac:dyDescent="0.3">
      <c r="A50" t="s">
        <v>273</v>
      </c>
      <c r="B50" t="s">
        <v>52</v>
      </c>
      <c r="C50" t="s">
        <v>53</v>
      </c>
      <c r="D50" t="s">
        <v>237</v>
      </c>
      <c r="E50" t="s">
        <v>238</v>
      </c>
      <c r="F50" t="s">
        <v>238</v>
      </c>
      <c r="H50" t="s">
        <v>239</v>
      </c>
      <c r="I50" t="s">
        <v>251</v>
      </c>
      <c r="J50" t="s">
        <v>252</v>
      </c>
      <c r="K50" t="s">
        <v>252</v>
      </c>
      <c r="M50" t="s">
        <v>253</v>
      </c>
      <c r="N50" t="s">
        <v>254</v>
      </c>
      <c r="O50" t="s">
        <v>255</v>
      </c>
      <c r="P50">
        <v>5</v>
      </c>
      <c r="R50" t="s">
        <v>275</v>
      </c>
      <c r="S50" t="s">
        <v>68</v>
      </c>
      <c r="T50" t="str">
        <f t="shared" si="0"/>
        <v>avg[Lost time injury frequency rate]</v>
      </c>
      <c r="U50" t="b">
        <v>0</v>
      </c>
      <c r="V50" t="b">
        <v>0</v>
      </c>
      <c r="W50" t="b">
        <v>0</v>
      </c>
      <c r="X50" t="b">
        <v>0</v>
      </c>
      <c r="Y50" t="s">
        <v>63</v>
      </c>
      <c r="Z50" t="s">
        <v>276</v>
      </c>
      <c r="AA50">
        <v>60</v>
      </c>
      <c r="AB50">
        <v>80</v>
      </c>
      <c r="AC50">
        <v>100</v>
      </c>
      <c r="AD50" s="4" t="s">
        <v>278</v>
      </c>
      <c r="AF50" t="s">
        <v>64</v>
      </c>
      <c r="AU50" t="s">
        <v>282</v>
      </c>
      <c r="AY50">
        <v>0</v>
      </c>
      <c r="AZ50">
        <v>0</v>
      </c>
      <c r="BA50">
        <v>0</v>
      </c>
    </row>
    <row r="51" spans="1:53" ht="15" customHeight="1" x14ac:dyDescent="0.3">
      <c r="A51" t="s">
        <v>273</v>
      </c>
      <c r="B51" t="s">
        <v>52</v>
      </c>
      <c r="C51" t="s">
        <v>53</v>
      </c>
      <c r="D51" t="s">
        <v>237</v>
      </c>
      <c r="E51" t="s">
        <v>238</v>
      </c>
      <c r="F51" t="s">
        <v>238</v>
      </c>
      <c r="H51" t="s">
        <v>239</v>
      </c>
      <c r="I51" t="s">
        <v>251</v>
      </c>
      <c r="J51" t="s">
        <v>252</v>
      </c>
      <c r="K51" t="s">
        <v>252</v>
      </c>
      <c r="M51" t="s">
        <v>256</v>
      </c>
      <c r="N51" t="s">
        <v>257</v>
      </c>
      <c r="O51" t="s">
        <v>258</v>
      </c>
      <c r="P51">
        <v>5</v>
      </c>
      <c r="R51" t="s">
        <v>275</v>
      </c>
      <c r="S51" t="s">
        <v>68</v>
      </c>
      <c r="T51" t="str">
        <f t="shared" si="0"/>
        <v>avg[Number of safety incidents]</v>
      </c>
      <c r="U51" t="b">
        <v>0</v>
      </c>
      <c r="V51" t="b">
        <v>0</v>
      </c>
      <c r="W51" t="b">
        <v>0</v>
      </c>
      <c r="X51" t="b">
        <v>0</v>
      </c>
      <c r="Y51" t="s">
        <v>63</v>
      </c>
      <c r="Z51" t="s">
        <v>276</v>
      </c>
      <c r="AA51">
        <v>60</v>
      </c>
      <c r="AB51">
        <v>80</v>
      </c>
      <c r="AC51">
        <v>100</v>
      </c>
      <c r="AD51" s="4" t="s">
        <v>278</v>
      </c>
      <c r="AF51" t="s">
        <v>64</v>
      </c>
      <c r="AU51" t="s">
        <v>282</v>
      </c>
      <c r="AY51">
        <v>0</v>
      </c>
      <c r="AZ51">
        <v>0</v>
      </c>
      <c r="BA51">
        <v>0</v>
      </c>
    </row>
    <row r="52" spans="1:53" ht="15" customHeight="1" x14ac:dyDescent="0.3">
      <c r="A52" t="s">
        <v>273</v>
      </c>
      <c r="B52" t="s">
        <v>52</v>
      </c>
      <c r="C52" t="s">
        <v>53</v>
      </c>
      <c r="D52" t="s">
        <v>237</v>
      </c>
      <c r="E52" t="s">
        <v>238</v>
      </c>
      <c r="F52" t="s">
        <v>238</v>
      </c>
      <c r="H52" t="s">
        <v>239</v>
      </c>
      <c r="I52" t="s">
        <v>251</v>
      </c>
      <c r="J52" t="s">
        <v>252</v>
      </c>
      <c r="K52" t="s">
        <v>252</v>
      </c>
      <c r="M52" t="s">
        <v>259</v>
      </c>
      <c r="N52" t="s">
        <v>260</v>
      </c>
      <c r="O52" t="s">
        <v>261</v>
      </c>
      <c r="P52">
        <v>5</v>
      </c>
      <c r="R52" t="s">
        <v>275</v>
      </c>
      <c r="S52" t="s">
        <v>62</v>
      </c>
      <c r="T52" t="str">
        <f t="shared" si="0"/>
        <v>avg[Safety training completion rate]</v>
      </c>
      <c r="U52" t="b">
        <v>0</v>
      </c>
      <c r="V52" t="b">
        <v>0</v>
      </c>
      <c r="W52" t="b">
        <v>0</v>
      </c>
      <c r="X52" t="b">
        <v>0</v>
      </c>
      <c r="Y52" t="s">
        <v>63</v>
      </c>
      <c r="Z52" t="s">
        <v>276</v>
      </c>
      <c r="AA52">
        <v>60</v>
      </c>
      <c r="AB52">
        <v>80</v>
      </c>
      <c r="AC52">
        <v>100</v>
      </c>
      <c r="AD52" s="4" t="s">
        <v>277</v>
      </c>
      <c r="AF52" t="s">
        <v>64</v>
      </c>
      <c r="AU52" t="s">
        <v>282</v>
      </c>
      <c r="AY52">
        <v>0</v>
      </c>
      <c r="AZ52">
        <v>0</v>
      </c>
      <c r="BA52">
        <v>0</v>
      </c>
    </row>
    <row r="53" spans="1:53" ht="15" customHeight="1" x14ac:dyDescent="0.3">
      <c r="A53" t="s">
        <v>273</v>
      </c>
      <c r="B53" t="s">
        <v>52</v>
      </c>
      <c r="C53" t="s">
        <v>53</v>
      </c>
      <c r="D53" t="s">
        <v>237</v>
      </c>
      <c r="E53" t="s">
        <v>238</v>
      </c>
      <c r="F53" t="s">
        <v>238</v>
      </c>
      <c r="H53" t="s">
        <v>239</v>
      </c>
      <c r="I53" t="s">
        <v>262</v>
      </c>
      <c r="J53" t="s">
        <v>263</v>
      </c>
      <c r="K53" t="s">
        <v>263</v>
      </c>
      <c r="M53" t="s">
        <v>264</v>
      </c>
      <c r="N53" t="s">
        <v>265</v>
      </c>
      <c r="O53" t="s">
        <v>266</v>
      </c>
      <c r="P53">
        <v>5</v>
      </c>
      <c r="R53" t="s">
        <v>275</v>
      </c>
      <c r="S53" t="s">
        <v>62</v>
      </c>
      <c r="T53" t="str">
        <f t="shared" si="0"/>
        <v>avg[Training hours per employee]</v>
      </c>
      <c r="U53" t="b">
        <v>0</v>
      </c>
      <c r="V53" t="b">
        <v>0</v>
      </c>
      <c r="W53" t="b">
        <v>0</v>
      </c>
      <c r="X53" t="b">
        <v>0</v>
      </c>
      <c r="Y53" t="s">
        <v>63</v>
      </c>
      <c r="Z53" t="s">
        <v>276</v>
      </c>
      <c r="AA53">
        <v>60</v>
      </c>
      <c r="AB53">
        <v>80</v>
      </c>
      <c r="AC53">
        <v>100</v>
      </c>
      <c r="AD53" s="4" t="s">
        <v>278</v>
      </c>
      <c r="AF53" t="s">
        <v>64</v>
      </c>
      <c r="AU53" t="s">
        <v>282</v>
      </c>
      <c r="AY53">
        <v>0</v>
      </c>
      <c r="AZ53">
        <v>0</v>
      </c>
      <c r="BA53">
        <v>0</v>
      </c>
    </row>
    <row r="54" spans="1:53" ht="24.6" customHeight="1" x14ac:dyDescent="0.3">
      <c r="A54" t="s">
        <v>273</v>
      </c>
      <c r="B54" t="s">
        <v>52</v>
      </c>
      <c r="C54" t="s">
        <v>53</v>
      </c>
      <c r="D54" t="s">
        <v>237</v>
      </c>
      <c r="E54" t="s">
        <v>238</v>
      </c>
      <c r="F54" t="s">
        <v>238</v>
      </c>
      <c r="H54" t="s">
        <v>239</v>
      </c>
      <c r="I54" t="s">
        <v>262</v>
      </c>
      <c r="J54" t="s">
        <v>263</v>
      </c>
      <c r="K54" t="s">
        <v>263</v>
      </c>
      <c r="M54" t="s">
        <v>267</v>
      </c>
      <c r="N54" t="s">
        <v>268</v>
      </c>
      <c r="O54" t="s">
        <v>269</v>
      </c>
      <c r="P54">
        <v>5</v>
      </c>
      <c r="R54" t="s">
        <v>275</v>
      </c>
      <c r="S54" t="s">
        <v>280</v>
      </c>
      <c r="T54" t="str">
        <f t="shared" si="0"/>
        <v>avg[Percentage of roles with succession plans]</v>
      </c>
      <c r="U54" t="b">
        <v>0</v>
      </c>
      <c r="V54" t="b">
        <v>0</v>
      </c>
      <c r="W54" t="b">
        <v>0</v>
      </c>
      <c r="X54" t="b">
        <v>0</v>
      </c>
      <c r="Y54" t="s">
        <v>63</v>
      </c>
      <c r="Z54" t="s">
        <v>276</v>
      </c>
      <c r="AA54">
        <v>60</v>
      </c>
      <c r="AB54">
        <v>80</v>
      </c>
      <c r="AC54">
        <v>100</v>
      </c>
      <c r="AD54" s="4" t="s">
        <v>277</v>
      </c>
      <c r="AF54" t="s">
        <v>64</v>
      </c>
      <c r="AU54" t="s">
        <v>282</v>
      </c>
      <c r="AY54">
        <v>0</v>
      </c>
      <c r="AZ54">
        <v>0</v>
      </c>
      <c r="BA54">
        <v>0</v>
      </c>
    </row>
    <row r="55" spans="1:53" ht="29.4" customHeight="1" x14ac:dyDescent="0.3">
      <c r="A55" t="s">
        <v>273</v>
      </c>
      <c r="B55" t="s">
        <v>52</v>
      </c>
      <c r="C55" t="s">
        <v>53</v>
      </c>
      <c r="D55" t="s">
        <v>237</v>
      </c>
      <c r="E55" t="s">
        <v>238</v>
      </c>
      <c r="F55" t="s">
        <v>238</v>
      </c>
      <c r="H55" t="s">
        <v>239</v>
      </c>
      <c r="I55" t="s">
        <v>262</v>
      </c>
      <c r="J55" t="s">
        <v>263</v>
      </c>
      <c r="K55" t="s">
        <v>263</v>
      </c>
      <c r="M55" t="s">
        <v>270</v>
      </c>
      <c r="N55" t="s">
        <v>271</v>
      </c>
      <c r="O55" t="s">
        <v>272</v>
      </c>
      <c r="P55">
        <v>5</v>
      </c>
      <c r="R55" t="s">
        <v>275</v>
      </c>
      <c r="S55" t="s">
        <v>280</v>
      </c>
      <c r="T55" t="str">
        <f t="shared" si="0"/>
        <v>avg[Employee certification completion rate]</v>
      </c>
      <c r="U55" t="b">
        <v>0</v>
      </c>
      <c r="V55" t="b">
        <v>0</v>
      </c>
      <c r="W55" t="b">
        <v>0</v>
      </c>
      <c r="X55" t="b">
        <v>0</v>
      </c>
      <c r="Y55" t="s">
        <v>63</v>
      </c>
      <c r="Z55" t="s">
        <v>276</v>
      </c>
      <c r="AA55">
        <v>60</v>
      </c>
      <c r="AB55">
        <v>80</v>
      </c>
      <c r="AC55">
        <v>100</v>
      </c>
      <c r="AD55" s="4" t="s">
        <v>277</v>
      </c>
      <c r="AF55" t="s">
        <v>64</v>
      </c>
      <c r="AU55" t="s">
        <v>282</v>
      </c>
      <c r="AY55">
        <v>0</v>
      </c>
      <c r="AZ55">
        <v>0</v>
      </c>
      <c r="BA55">
        <v>0</v>
      </c>
    </row>
  </sheetData>
  <pageMargins left="0.7" right="0.7" top="0.75" bottom="0.75" header="0.3" footer="0.3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kavipriya_1999@outlook.com</cp:lastModifiedBy>
  <dcterms:created xsi:type="dcterms:W3CDTF">2026-04-01T04:35:23Z</dcterms:created>
  <dcterms:modified xsi:type="dcterms:W3CDTF">2026-07-07T15:34:51Z</dcterms:modified>
</cp:coreProperties>
</file>